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열 명세" sheetId="1" state="visible" r:id="rId3"/>
    <sheet name="분류 요약" sheetId="2" state="visible" r:id="rId4"/>
  </sheets>
  <definedNames>
    <definedName function="false" hidden="true" localSheetId="0" name="_xlnm._FilterDatabase" vbProcedure="false">'열 명세'!$A$5:$J$161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<sst xmlns="http://schemas.openxmlformats.org/spreadsheetml/2006/main" count="1195" uniqueCount="664">
  <si>
    <r>
      <rPr>
        <b val="true"/>
        <sz val="14"/>
        <rFont val="Arial"/>
        <family val="0"/>
        <charset val="1"/>
      </rPr>
      <t xml:space="preserve">KHUDA 3</t>
    </r>
    <r>
      <rPr>
        <b val="true"/>
        <sz val="14"/>
        <rFont val="Noto Sans CJK SC"/>
        <family val="2"/>
      </rPr>
      <t xml:space="preserve">조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토이프로젝트 데이터 명세서</t>
    </r>
  </si>
  <si>
    <r>
      <rPr>
        <sz val="10"/>
        <color rgb="FF606060"/>
        <rFont val="Arial"/>
        <family val="0"/>
        <charset val="1"/>
      </rPr>
      <t xml:space="preserve">prep/final.csv.gz  ·  56,648</t>
    </r>
    <r>
      <rPr>
        <sz val="10"/>
        <color rgb="FF606060"/>
        <rFont val="Noto Sans CJK SC"/>
        <family val="2"/>
      </rPr>
      <t xml:space="preserve">행 </t>
    </r>
    <r>
      <rPr>
        <sz val="10"/>
        <color rgb="FF606060"/>
        <rFont val="Arial"/>
        <family val="0"/>
        <charset val="1"/>
      </rPr>
      <t xml:space="preserve">× 156</t>
    </r>
    <r>
      <rPr>
        <sz val="10"/>
        <color rgb="FF606060"/>
        <rFont val="Noto Sans CJK SC"/>
        <family val="2"/>
      </rPr>
      <t xml:space="preserve">열  </t>
    </r>
    <r>
      <rPr>
        <sz val="10"/>
        <color rgb="FF606060"/>
        <rFont val="Arial"/>
        <family val="0"/>
        <charset val="1"/>
      </rPr>
      <t xml:space="preserve">·  </t>
    </r>
    <r>
      <rPr>
        <sz val="10"/>
        <color rgb="FF606060"/>
        <rFont val="Noto Sans CJK SC"/>
        <family val="2"/>
      </rPr>
      <t xml:space="preserve">한국마사회 공공데이터 </t>
    </r>
    <r>
      <rPr>
        <sz val="10"/>
        <color rgb="FF606060"/>
        <rFont val="Arial"/>
        <family val="0"/>
        <charset val="1"/>
      </rPr>
      <t xml:space="preserve">API 11</t>
    </r>
    <r>
      <rPr>
        <sz val="10"/>
        <color rgb="FF606060"/>
        <rFont val="Noto Sans CJK SC"/>
        <family val="2"/>
      </rPr>
      <t xml:space="preserve">종  </t>
    </r>
    <r>
      <rPr>
        <sz val="10"/>
        <color rgb="FF606060"/>
        <rFont val="Arial"/>
        <family val="0"/>
        <charset val="1"/>
      </rPr>
      <t xml:space="preserve">·  </t>
    </r>
    <r>
      <rPr>
        <sz val="10"/>
        <color rgb="FF606060"/>
        <rFont val="Noto Sans CJK SC"/>
        <family val="2"/>
      </rPr>
      <t xml:space="preserve">서울</t>
    </r>
    <r>
      <rPr>
        <sz val="10"/>
        <color rgb="FF606060"/>
        <rFont val="Arial"/>
        <family val="0"/>
        <charset val="1"/>
      </rPr>
      <t xml:space="preserve">·</t>
    </r>
    <r>
      <rPr>
        <sz val="10"/>
        <color rgb="FF606060"/>
        <rFont val="Noto Sans CJK SC"/>
        <family val="2"/>
      </rPr>
      <t xml:space="preserve">부산경남  </t>
    </r>
    <r>
      <rPr>
        <sz val="10"/>
        <color rgb="FF606060"/>
        <rFont val="Arial"/>
        <family val="0"/>
        <charset val="1"/>
      </rPr>
      <t xml:space="preserve">2023-08-05 ~ 2026-08-09</t>
    </r>
  </si>
  <si>
    <r>
      <rPr>
        <b val="true"/>
        <sz val="10"/>
        <color rgb="FFC00000"/>
        <rFont val="Noto Sans CJK SC"/>
        <family val="2"/>
      </rPr>
      <t xml:space="preserve">★ 주의  ① </t>
    </r>
    <r>
      <rPr>
        <b val="true"/>
        <sz val="10"/>
        <color rgb="FFC00000"/>
        <rFont val="Arial"/>
        <family val="0"/>
        <charset val="1"/>
      </rPr>
      <t xml:space="preserve">hrNo </t>
    </r>
    <r>
      <rPr>
        <b val="true"/>
        <sz val="10"/>
        <color rgb="FFC00000"/>
        <rFont val="Noto Sans CJK SC"/>
        <family val="2"/>
      </rPr>
      <t xml:space="preserve">는 문자열로 읽을 것</t>
    </r>
    <r>
      <rPr>
        <b val="true"/>
        <sz val="10"/>
        <color rgb="FFC00000"/>
        <rFont val="Arial"/>
        <family val="0"/>
        <charset val="1"/>
      </rPr>
      <t xml:space="preserve">(98%</t>
    </r>
    <r>
      <rPr>
        <b val="true"/>
        <sz val="10"/>
        <color rgb="FFC00000"/>
        <rFont val="Noto Sans CJK SC"/>
        <family val="2"/>
      </rPr>
      <t xml:space="preserve">가 </t>
    </r>
    <r>
      <rPr>
        <b val="true"/>
        <sz val="10"/>
        <color rgb="FFC00000"/>
        <rFont val="Arial"/>
        <family val="0"/>
        <charset val="1"/>
      </rPr>
      <t xml:space="preserve">0</t>
    </r>
    <r>
      <rPr>
        <b val="true"/>
        <sz val="10"/>
        <color rgb="FFC00000"/>
        <rFont val="Noto Sans CJK SC"/>
        <family val="2"/>
      </rPr>
      <t xml:space="preserve">으로 시작</t>
    </r>
    <r>
      <rPr>
        <b val="true"/>
        <sz val="10"/>
        <color rgb="FFC00000"/>
        <rFont val="Arial"/>
        <family val="0"/>
        <charset val="1"/>
      </rPr>
      <t xml:space="preserve">)   ② </t>
    </r>
    <r>
      <rPr>
        <b val="true"/>
        <sz val="10"/>
        <color rgb="FFC00000"/>
        <rFont val="Noto Sans CJK SC"/>
        <family val="2"/>
      </rPr>
      <t xml:space="preserve">결과</t>
    </r>
    <r>
      <rPr>
        <b val="true"/>
        <sz val="10"/>
        <color rgb="FFC00000"/>
        <rFont val="Arial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</rPr>
      <t xml:space="preserve">라벨 열은 피처 금지   ③ </t>
    </r>
    <r>
      <rPr>
        <b val="true"/>
        <sz val="10"/>
        <color rgb="FFC00000"/>
        <rFont val="Arial"/>
        <family val="0"/>
        <charset val="1"/>
      </rPr>
      <t xml:space="preserve">fold </t>
    </r>
    <r>
      <rPr>
        <b val="true"/>
        <sz val="10"/>
        <color rgb="FFC00000"/>
        <rFont val="Noto Sans CJK SC"/>
        <family val="2"/>
      </rPr>
      <t xml:space="preserve">는 시간 순 분할이므로 섞지 말 것</t>
    </r>
  </si>
  <si>
    <t xml:space="preserve">번호</t>
  </si>
  <si>
    <t xml:space="preserve">열이름</t>
  </si>
  <si>
    <t xml:space="preserve">분류</t>
  </si>
  <si>
    <t xml:space="preserve">타입</t>
  </si>
  <si>
    <t xml:space="preserve">출처</t>
  </si>
  <si>
    <t xml:space="preserve">설명</t>
  </si>
  <si>
    <t xml:space="preserve">결측률</t>
  </si>
  <si>
    <t xml:space="preserve">값범위</t>
  </si>
  <si>
    <t xml:space="preserve">예시</t>
  </si>
  <si>
    <t xml:space="preserve">주의</t>
  </si>
  <si>
    <t xml:space="preserve">chulNo</t>
  </si>
  <si>
    <t xml:space="preserve">식별</t>
  </si>
  <si>
    <t xml:space="preserve">정수</t>
  </si>
  <si>
    <t xml:space="preserve">경주성적정보</t>
  </si>
  <si>
    <r>
      <rPr>
        <sz val="10"/>
        <rFont val="Noto Sans CJK SC"/>
        <family val="2"/>
      </rPr>
      <t xml:space="preserve">마번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게이트 번호</t>
    </r>
    <r>
      <rPr>
        <sz val="10"/>
        <rFont val="Arial"/>
        <family val="0"/>
        <charset val="1"/>
      </rPr>
      <t xml:space="preserve">)</t>
    </r>
  </si>
  <si>
    <t xml:space="preserve">1 ~ 16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</si>
  <si>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5.929</t>
    </r>
  </si>
  <si>
    <t xml:space="preserve">hrName</t>
  </si>
  <si>
    <t xml:space="preserve">문자</t>
  </si>
  <si>
    <t xml:space="preserve">마명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</si>
  <si>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5,685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</si>
  <si>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남도일등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스토미데이</t>
    </r>
  </si>
  <si>
    <t xml:space="preserve">hrNo</t>
  </si>
  <si>
    <r>
      <rPr>
        <sz val="10"/>
        <rFont val="Noto Sans CJK SC"/>
        <family val="2"/>
      </rPr>
      <t xml:space="preserve">마필 등록번호 </t>
    </r>
    <r>
      <rPr>
        <sz val="10"/>
        <rFont val="Arial"/>
        <family val="0"/>
        <charset val="1"/>
      </rPr>
      <t xml:space="preserve">(7</t>
    </r>
    <r>
      <rPr>
        <sz val="10"/>
        <rFont val="Noto Sans CJK SC"/>
        <family val="2"/>
      </rPr>
      <t xml:space="preserve">자리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</si>
  <si>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5,439</t>
    </r>
    <r>
      <rPr>
        <sz val="10"/>
        <rFont val="Noto Sans CJK SC"/>
        <family val="2"/>
      </rPr>
      <t xml:space="preserve">개</t>
    </r>
  </si>
  <si>
    <t xml:space="preserve">0042818 / 0045858</t>
  </si>
  <si>
    <r>
      <rPr>
        <b val="true"/>
        <sz val="10"/>
        <color rgb="FFC00000"/>
        <rFont val="Arial"/>
        <family val="0"/>
        <charset val="1"/>
      </rPr>
      <t xml:space="preserve">★ 98%</t>
    </r>
    <r>
      <rPr>
        <b val="true"/>
        <sz val="10"/>
        <color rgb="FFC00000"/>
        <rFont val="Noto Sans CJK SC"/>
        <family val="2"/>
      </rPr>
      <t xml:space="preserve">가 </t>
    </r>
    <r>
      <rPr>
        <b val="true"/>
        <sz val="10"/>
        <color rgb="FFC00000"/>
        <rFont val="Arial"/>
        <family val="0"/>
        <charset val="1"/>
      </rPr>
      <t xml:space="preserve">0</t>
    </r>
    <r>
      <rPr>
        <b val="true"/>
        <sz val="10"/>
        <color rgb="FFC00000"/>
        <rFont val="Noto Sans CJK SC"/>
        <family val="2"/>
      </rPr>
      <t xml:space="preserve">으로 시작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문자열로 읽을 것</t>
    </r>
  </si>
  <si>
    <t xml:space="preserve">jkName</t>
  </si>
  <si>
    <t xml:space="preserve">기수명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</si>
  <si>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103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</si>
  <si>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송재철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임다빈</t>
    </r>
  </si>
  <si>
    <t xml:space="preserve">jkNo</t>
  </si>
  <si>
    <r>
      <rPr>
        <sz val="10"/>
        <rFont val="Noto Sans CJK SC"/>
        <family val="2"/>
      </rPr>
      <t xml:space="preserve">기수 번호 </t>
    </r>
    <r>
      <rPr>
        <sz val="10"/>
        <rFont val="Arial"/>
        <family val="0"/>
        <charset val="1"/>
      </rPr>
      <t xml:space="preserve">(6</t>
    </r>
    <r>
      <rPr>
        <sz val="10"/>
        <rFont val="Noto Sans CJK SC"/>
        <family val="2"/>
      </rPr>
      <t xml:space="preserve">자리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</si>
  <si>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104</t>
    </r>
    <r>
      <rPr>
        <sz val="10"/>
        <rFont val="Noto Sans CJK SC"/>
        <family val="2"/>
      </rPr>
      <t xml:space="preserve">개</t>
    </r>
  </si>
  <si>
    <t xml:space="preserve">080513 / 080602</t>
  </si>
  <si>
    <t xml:space="preserve">문자열로 읽을 것</t>
  </si>
  <si>
    <t xml:space="preserve">meet</t>
  </si>
  <si>
    <t xml:space="preserve">경마장 이름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</si>
  <si>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</si>
  <si>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부경</t>
    </r>
  </si>
  <si>
    <t xml:space="preserve">owName</t>
  </si>
  <si>
    <t xml:space="preserve">마주명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</si>
  <si>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690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</si>
  <si>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이장현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이종훈</t>
    </r>
  </si>
  <si>
    <t xml:space="preserve">owNo</t>
  </si>
  <si>
    <r>
      <rPr>
        <sz val="10"/>
        <rFont val="Noto Sans CJK SC"/>
        <family val="2"/>
      </rPr>
      <t xml:space="preserve">마주 번호 </t>
    </r>
    <r>
      <rPr>
        <sz val="10"/>
        <rFont val="Arial"/>
        <family val="0"/>
        <charset val="1"/>
      </rPr>
      <t xml:space="preserve">(6</t>
    </r>
    <r>
      <rPr>
        <sz val="10"/>
        <rFont val="Noto Sans CJK SC"/>
        <family val="2"/>
      </rPr>
      <t xml:space="preserve">자리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</si>
  <si>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681</t>
    </r>
    <r>
      <rPr>
        <sz val="10"/>
        <rFont val="Noto Sans CJK SC"/>
        <family val="2"/>
      </rPr>
      <t xml:space="preserve">개</t>
    </r>
  </si>
  <si>
    <t xml:space="preserve">117004 / 105127</t>
  </si>
  <si>
    <t xml:space="preserve">rcDate</t>
  </si>
  <si>
    <r>
      <rPr>
        <sz val="10"/>
        <rFont val="Noto Sans CJK SC"/>
        <family val="2"/>
      </rPr>
      <t xml:space="preserve">경주일자 </t>
    </r>
    <r>
      <rPr>
        <sz val="10"/>
        <rFont val="Arial"/>
        <family val="0"/>
        <charset val="1"/>
      </rPr>
      <t xml:space="preserve">(YYYYMMDD)</t>
    </r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</si>
  <si>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453</t>
    </r>
    <r>
      <rPr>
        <sz val="10"/>
        <rFont val="Noto Sans CJK SC"/>
        <family val="2"/>
      </rPr>
      <t xml:space="preserve">개</t>
    </r>
  </si>
  <si>
    <t xml:space="preserve">20240218 / 20240204</t>
  </si>
  <si>
    <t xml:space="preserve">rcDay</t>
  </si>
  <si>
    <t xml:space="preserve">요일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</si>
  <si>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</si>
  <si>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일요일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토요일</t>
    </r>
  </si>
  <si>
    <t xml:space="preserve">rcNo</t>
  </si>
  <si>
    <r>
      <rPr>
        <sz val="10"/>
        <rFont val="Noto Sans CJK SC"/>
        <family val="2"/>
      </rPr>
      <t xml:space="preserve">경주번호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1~11)</t>
    </r>
  </si>
  <si>
    <t xml:space="preserve">1 ~ 15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</si>
  <si>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5.213</t>
    </r>
  </si>
  <si>
    <t xml:space="preserve">trName</t>
  </si>
  <si>
    <t xml:space="preserve">조교사명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</si>
  <si>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106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</si>
  <si>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서인석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이관호</t>
    </r>
  </si>
  <si>
    <t xml:space="preserve">trNo</t>
  </si>
  <si>
    <r>
      <rPr>
        <sz val="10"/>
        <rFont val="Noto Sans CJK SC"/>
        <family val="2"/>
      </rPr>
      <t xml:space="preserve">조교사 번호 </t>
    </r>
    <r>
      <rPr>
        <sz val="10"/>
        <rFont val="Arial"/>
        <family val="0"/>
        <charset val="1"/>
      </rPr>
      <t xml:space="preserve">(6</t>
    </r>
    <r>
      <rPr>
        <sz val="10"/>
        <rFont val="Noto Sans CJK SC"/>
        <family val="2"/>
      </rPr>
      <t xml:space="preserve">자리</t>
    </r>
    <r>
      <rPr>
        <sz val="10"/>
        <rFont val="Arial"/>
        <family val="0"/>
        <charset val="1"/>
      </rPr>
      <t xml:space="preserve">)</t>
    </r>
  </si>
  <si>
    <t xml:space="preserve">070165 / 070181</t>
  </si>
  <si>
    <t xml:space="preserve">meet_cd</t>
  </si>
  <si>
    <t xml:space="preserve">파생</t>
  </si>
  <si>
    <t xml:space="preserve">경마장 코드</t>
  </si>
  <si>
    <t xml:space="preserve">1 ~ 3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</si>
  <si>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1.839</t>
    </r>
  </si>
  <si>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3=</t>
    </r>
    <r>
      <rPr>
        <sz val="10"/>
        <rFont val="Noto Sans CJK SC"/>
        <family val="2"/>
      </rPr>
      <t xml:space="preserve">부산경남</t>
    </r>
  </si>
  <si>
    <t xml:space="preserve">race_id</t>
  </si>
  <si>
    <r>
      <rPr>
        <sz val="10"/>
        <rFont val="Noto Sans CJK SC"/>
        <family val="2"/>
      </rPr>
      <t xml:space="preserve">경주 고유번호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경마장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경주번호</t>
    </r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</si>
  <si>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5,361</t>
    </r>
    <r>
      <rPr>
        <sz val="10"/>
        <rFont val="Noto Sans CJK SC"/>
        <family val="2"/>
      </rPr>
      <t xml:space="preserve">개</t>
    </r>
  </si>
  <si>
    <t xml:space="preserve">20240414_1_07 / 20241110_3_06</t>
  </si>
  <si>
    <r>
      <rPr>
        <sz val="10"/>
        <rFont val="Noto Sans CJK SC"/>
        <family val="2"/>
      </rPr>
      <t xml:space="preserve">사전식 정렬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시간 순</t>
    </r>
  </si>
  <si>
    <t xml:space="preserve">entry_id</t>
  </si>
  <si>
    <r>
      <rPr>
        <sz val="10"/>
        <rFont val="Noto Sans CJK SC"/>
        <family val="2"/>
      </rPr>
      <t xml:space="preserve">출주 고유번호</t>
    </r>
    <r>
      <rPr>
        <sz val="10"/>
        <rFont val="Arial"/>
        <family val="0"/>
        <charset val="1"/>
      </rPr>
      <t xml:space="preserve">. race_id_</t>
    </r>
    <r>
      <rPr>
        <sz val="10"/>
        <rFont val="Noto Sans CJK SC"/>
        <family val="2"/>
      </rPr>
      <t xml:space="preserve">마번</t>
    </r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</si>
  <si>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56,648</t>
    </r>
    <r>
      <rPr>
        <sz val="10"/>
        <rFont val="Noto Sans CJK SC"/>
        <family val="2"/>
      </rPr>
      <t xml:space="preserve">개</t>
    </r>
  </si>
  <si>
    <t xml:space="preserve">20260809_1_10_11 / 20230805_1_01_01</t>
  </si>
  <si>
    <t xml:space="preserve">이 표의 기본키</t>
  </si>
  <si>
    <t xml:space="preserve">fold</t>
  </si>
  <si>
    <r>
      <rPr>
        <sz val="10"/>
        <rFont val="Noto Sans CJK SC"/>
        <family val="2"/>
      </rPr>
      <t xml:space="preserve">시점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분할</t>
    </r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</si>
  <si>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</si>
  <si>
    <t xml:space="preserve">test / valid</t>
  </si>
  <si>
    <r>
      <rPr>
        <b val="true"/>
        <sz val="10"/>
        <color rgb="FFC00000"/>
        <rFont val="Arial"/>
        <family val="0"/>
        <charset val="1"/>
      </rPr>
      <t xml:space="preserve">★ train→valid→test </t>
    </r>
    <r>
      <rPr>
        <b val="true"/>
        <sz val="10"/>
        <color rgb="FFC00000"/>
        <rFont val="Noto Sans CJK SC"/>
        <family val="2"/>
      </rPr>
      <t xml:space="preserve">시간 순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섞으면 안 됨</t>
    </r>
  </si>
  <si>
    <t xml:space="preserve">ageCond</t>
  </si>
  <si>
    <t xml:space="preserve">경주조건</t>
  </si>
  <si>
    <t xml:space="preserve">연령 조건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</si>
  <si>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</si>
  <si>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연령오픈 </t>
    </r>
    <r>
      <rPr>
        <sz val="10"/>
        <rFont val="Arial"/>
        <family val="0"/>
        <charset val="1"/>
      </rPr>
      <t xml:space="preserve">/ 2</t>
    </r>
    <r>
      <rPr>
        <sz val="10"/>
        <rFont val="Noto Sans CJK SC"/>
        <family val="2"/>
      </rPr>
      <t xml:space="preserve">세</t>
    </r>
  </si>
  <si>
    <t xml:space="preserve">budam</t>
  </si>
  <si>
    <t xml:space="preserve">부담중량 방식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</si>
  <si>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</si>
  <si>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핸디캡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별정</t>
    </r>
    <r>
      <rPr>
        <sz val="10"/>
        <rFont val="Arial"/>
        <family val="0"/>
        <charset val="1"/>
      </rPr>
      <t xml:space="preserve">A</t>
    </r>
  </si>
  <si>
    <r>
      <rPr>
        <sz val="10"/>
        <rFont val="Noto Sans CJK SC"/>
        <family val="2"/>
      </rPr>
      <t xml:space="preserve">핸디캡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별정</t>
    </r>
    <r>
      <rPr>
        <sz val="10"/>
        <rFont val="Arial"/>
        <family val="0"/>
        <charset val="1"/>
      </rPr>
      <t xml:space="preserve">A/</t>
    </r>
    <r>
      <rPr>
        <sz val="10"/>
        <rFont val="Noto Sans CJK SC"/>
        <family val="2"/>
      </rPr>
      <t xml:space="preserve">별정</t>
    </r>
    <r>
      <rPr>
        <sz val="10"/>
        <rFont val="Arial"/>
        <family val="0"/>
        <charset val="1"/>
      </rPr>
      <t xml:space="preserve">B/</t>
    </r>
    <r>
      <rPr>
        <sz val="10"/>
        <rFont val="Noto Sans CJK SC"/>
        <family val="2"/>
      </rPr>
      <t xml:space="preserve">마령</t>
    </r>
  </si>
  <si>
    <t xml:space="preserve">buga1</t>
  </si>
  <si>
    <r>
      <rPr>
        <sz val="10"/>
        <rFont val="Noto Sans CJK SC"/>
        <family val="2"/>
      </rPr>
      <t xml:space="preserve">부가상금</t>
    </r>
    <r>
      <rPr>
        <sz val="10"/>
        <rFont val="Arial"/>
        <family val="0"/>
        <charset val="1"/>
      </rPr>
      <t xml:space="preserve">1</t>
    </r>
  </si>
  <si>
    <t xml:space="preserve">0 ~ 4.608e+07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</si>
  <si>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4.009e+05</t>
    </r>
  </si>
  <si>
    <t xml:space="preserve">buga2</t>
  </si>
  <si>
    <r>
      <rPr>
        <sz val="10"/>
        <rFont val="Noto Sans CJK SC"/>
        <family val="2"/>
      </rPr>
      <t xml:space="preserve">부가상금</t>
    </r>
    <r>
      <rPr>
        <sz val="10"/>
        <rFont val="Arial"/>
        <family val="0"/>
        <charset val="1"/>
      </rPr>
      <t xml:space="preserve">2</t>
    </r>
  </si>
  <si>
    <t xml:space="preserve">0 ~ 2.304e+07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</si>
  <si>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2.005e+05</t>
    </r>
  </si>
  <si>
    <t xml:space="preserve">buga3</t>
  </si>
  <si>
    <r>
      <rPr>
        <sz val="10"/>
        <rFont val="Noto Sans CJK SC"/>
        <family val="2"/>
      </rPr>
      <t xml:space="preserve">부가상금</t>
    </r>
    <r>
      <rPr>
        <sz val="10"/>
        <rFont val="Arial"/>
        <family val="0"/>
        <charset val="1"/>
      </rPr>
      <t xml:space="preserve">3</t>
    </r>
  </si>
  <si>
    <t xml:space="preserve">0 ~ 7.68e+06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</si>
  <si>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6.682e+04</t>
    </r>
  </si>
  <si>
    <t xml:space="preserve">chaksun1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</si>
  <si>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착 상금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</si>
  <si>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t xml:space="preserve">1.375e+07 ~ 8.8e+08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</si>
  <si>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3.658e+07</t>
    </r>
  </si>
  <si>
    <t xml:space="preserve">경주 격의 대리변수</t>
  </si>
  <si>
    <t xml:space="preserve">chaksun2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</si>
  <si>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착 상금</t>
    </r>
  </si>
  <si>
    <t xml:space="preserve">5.5e+06 ~ 3.52e+08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</si>
  <si>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1.463e+07</t>
    </r>
  </si>
  <si>
    <t xml:space="preserve">chaksun3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</si>
  <si>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착 상금</t>
    </r>
  </si>
  <si>
    <t xml:space="preserve">3.5e+06 ~ 2.24e+08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</si>
  <si>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9.276e+06</t>
    </r>
  </si>
  <si>
    <t xml:space="preserve">chaksun4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</si>
  <si>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착 상금</t>
    </r>
  </si>
  <si>
    <t xml:space="preserve">1.25e+06 ~ 9.6e+07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</si>
  <si>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3.344e+06</t>
    </r>
  </si>
  <si>
    <t xml:space="preserve">chaksun5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</si>
  <si>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착 상금</t>
    </r>
  </si>
  <si>
    <t xml:space="preserve">1e+06 ~ 6.4e+07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</si>
  <si>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2.665e+06</t>
    </r>
  </si>
  <si>
    <t xml:space="preserve">ilsu</t>
  </si>
  <si>
    <t xml:space="preserve">경주일 일련번호</t>
  </si>
  <si>
    <t xml:space="preserve">1 ~ 100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</si>
  <si>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49.64</t>
    </r>
  </si>
  <si>
    <t xml:space="preserve">prizeCond</t>
  </si>
  <si>
    <t xml:space="preserve">상금 조건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</si>
  <si>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개</t>
    </r>
  </si>
  <si>
    <t xml:space="preserve">R0~0 / R1~35</t>
  </si>
  <si>
    <t xml:space="preserve">rank</t>
  </si>
  <si>
    <t xml:space="preserve">경주 등급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</si>
  <si>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</si>
  <si>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국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국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등급</t>
    </r>
  </si>
  <si>
    <r>
      <rPr>
        <sz val="10"/>
        <rFont val="Noto Sans CJK SC"/>
        <family val="2"/>
      </rPr>
      <t xml:space="preserve">국</t>
    </r>
    <r>
      <rPr>
        <sz val="10"/>
        <rFont val="Arial"/>
        <family val="0"/>
        <charset val="1"/>
      </rPr>
      <t xml:space="preserve">1~6</t>
    </r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혼등급 등</t>
    </r>
  </si>
  <si>
    <t xml:space="preserve">rcDist</t>
  </si>
  <si>
    <r>
      <rPr>
        <sz val="10"/>
        <rFont val="Noto Sans CJK SC"/>
        <family val="2"/>
      </rPr>
      <t xml:space="preserve">경주거리 </t>
    </r>
    <r>
      <rPr>
        <sz val="10"/>
        <rFont val="Arial"/>
        <family val="0"/>
        <charset val="1"/>
      </rPr>
      <t xml:space="preserve">(m)</t>
    </r>
  </si>
  <si>
    <t xml:space="preserve">1,000 ~ 2,300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</si>
  <si>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1,419</t>
    </r>
  </si>
  <si>
    <t xml:space="preserve">1000~2300</t>
  </si>
  <si>
    <t xml:space="preserve">rcName</t>
  </si>
  <si>
    <t xml:space="preserve">경주명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</si>
  <si>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122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</si>
  <si>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일반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새해맞이 기념 경주</t>
    </r>
  </si>
  <si>
    <t xml:space="preserve">track</t>
  </si>
  <si>
    <t xml:space="preserve">주로 상태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</si>
  <si>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</si>
  <si>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건조 </t>
    </r>
    <r>
      <rPr>
        <sz val="10"/>
        <rFont val="Arial"/>
        <family val="0"/>
        <charset val="1"/>
      </rPr>
      <t xml:space="preserve">(3%) / </t>
    </r>
    <r>
      <rPr>
        <sz val="10"/>
        <rFont val="Noto Sans CJK SC"/>
        <family val="2"/>
      </rPr>
      <t xml:space="preserve">건조 </t>
    </r>
    <r>
      <rPr>
        <sz val="10"/>
        <rFont val="Arial"/>
        <family val="0"/>
        <charset val="1"/>
      </rPr>
      <t xml:space="preserve">(2%)</t>
    </r>
  </si>
  <si>
    <r>
      <rPr>
        <sz val="10"/>
        <rFont val="Noto Sans CJK SC"/>
        <family val="2"/>
      </rPr>
      <t xml:space="preserve">건조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양호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포화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불량</t>
    </r>
  </si>
  <si>
    <t xml:space="preserve">weather</t>
  </si>
  <si>
    <t xml:space="preserve">날씨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</si>
  <si>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</si>
  <si>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맑음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흐림</t>
    </r>
  </si>
  <si>
    <t xml:space="preserve">n_run</t>
  </si>
  <si>
    <r>
      <rPr>
        <sz val="10"/>
        <rFont val="Noto Sans CJK SC"/>
        <family val="2"/>
      </rPr>
      <t xml:space="preserve">실제 출주두수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경주제외 제외</t>
    </r>
    <r>
      <rPr>
        <sz val="10"/>
        <rFont val="Arial"/>
        <family val="0"/>
        <charset val="1"/>
      </rPr>
      <t xml:space="preserve">)</t>
    </r>
  </si>
  <si>
    <t xml:space="preserve">6 ~ 16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</si>
  <si>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10.71</t>
    </r>
  </si>
  <si>
    <t xml:space="preserve">6~16</t>
  </si>
  <si>
    <t xml:space="preserve">dusu</t>
  </si>
  <si>
    <t xml:space="preserve">실수</t>
  </si>
  <si>
    <t xml:space="preserve">출전표상세</t>
  </si>
  <si>
    <t xml:space="preserve">발표 출주두수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</si>
  <si>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10.73</t>
    </r>
  </si>
  <si>
    <t xml:space="preserve">경주제외 포함</t>
  </si>
  <si>
    <t xml:space="preserve">waterRate</t>
  </si>
  <si>
    <t xml:space="preserve">경주개요</t>
  </si>
  <si>
    <r>
      <rPr>
        <sz val="10"/>
        <rFont val="Noto Sans CJK SC"/>
        <family val="2"/>
      </rPr>
      <t xml:space="preserve">주로 함수율 </t>
    </r>
    <r>
      <rPr>
        <sz val="10"/>
        <rFont val="Arial"/>
        <family val="0"/>
        <charset val="1"/>
      </rPr>
      <t xml:space="preserve">(%)</t>
    </r>
  </si>
  <si>
    <t xml:space="preserve">0 ~ 20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</si>
  <si>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7.595</t>
    </r>
  </si>
  <si>
    <t xml:space="preserve">spRating</t>
  </si>
  <si>
    <t xml:space="preserve">경주 레이팅 하한</t>
  </si>
  <si>
    <t xml:space="preserve">0 ~ 140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</si>
  <si>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39.39</t>
    </r>
  </si>
  <si>
    <t xml:space="preserve">stRating</t>
  </si>
  <si>
    <t xml:space="preserve">경주 레이팅 상한</t>
  </si>
  <si>
    <t xml:space="preserve">0 ~ 75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</si>
  <si>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2.014</t>
    </r>
  </si>
  <si>
    <t xml:space="preserve">age</t>
  </si>
  <si>
    <t xml:space="preserve">마필</t>
  </si>
  <si>
    <r>
      <rPr>
        <sz val="10"/>
        <rFont val="Noto Sans CJK SC"/>
        <family val="2"/>
      </rPr>
      <t xml:space="preserve">연령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)</t>
    </r>
  </si>
  <si>
    <t xml:space="preserve">2 ~ 12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</si>
  <si>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3.772</t>
    </r>
  </si>
  <si>
    <t xml:space="preserve">birthday</t>
  </si>
  <si>
    <t xml:space="preserve">생년월일</t>
  </si>
  <si>
    <t xml:space="preserve">2.013e+07 ~ 2.024e+07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</si>
  <si>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2.021e+07</t>
    </r>
  </si>
  <si>
    <t xml:space="preserve">name</t>
  </si>
  <si>
    <t xml:space="preserve">산지</t>
  </si>
  <si>
    <r>
      <rPr>
        <sz val="10"/>
        <rFont val="Noto Sans CJK SC"/>
        <family val="2"/>
      </rPr>
      <t xml:space="preserve">한국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미국</t>
    </r>
  </si>
  <si>
    <r>
      <rPr>
        <sz val="10"/>
        <rFont val="Noto Sans CJK SC"/>
        <family val="2"/>
      </rPr>
      <t xml:space="preserve">한국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미국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일본 등</t>
    </r>
  </si>
  <si>
    <t xml:space="preserve">rating</t>
  </si>
  <si>
    <t xml:space="preserve">마필 레이팅</t>
  </si>
  <si>
    <t xml:space="preserve">21 ~ 138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</si>
  <si>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44.08</t>
    </r>
  </si>
  <si>
    <r>
      <rPr>
        <b val="true"/>
        <sz val="10"/>
        <color rgb="FFC00000"/>
        <rFont val="Arial"/>
        <family val="0"/>
        <charset val="1"/>
      </rPr>
      <t xml:space="preserve">★ 28% </t>
    </r>
    <r>
      <rPr>
        <b val="true"/>
        <sz val="10"/>
        <color rgb="FFC00000"/>
        <rFont val="Noto Sans CJK SC"/>
        <family val="2"/>
      </rPr>
      <t xml:space="preserve">결측 — 국</t>
    </r>
    <r>
      <rPr>
        <b val="true"/>
        <sz val="10"/>
        <color rgb="FFC00000"/>
        <rFont val="Arial"/>
        <family val="0"/>
        <charset val="1"/>
      </rPr>
      <t xml:space="preserve">6</t>
    </r>
    <r>
      <rPr>
        <b val="true"/>
        <sz val="10"/>
        <color rgb="FFC00000"/>
        <rFont val="Noto Sans CJK SC"/>
        <family val="2"/>
      </rPr>
      <t xml:space="preserve">등급은 미부여</t>
    </r>
  </si>
  <si>
    <t xml:space="preserve">sex</t>
  </si>
  <si>
    <t xml:space="preserve">성별</t>
  </si>
  <si>
    <r>
      <rPr>
        <sz val="10"/>
        <rFont val="Noto Sans CJK SC"/>
        <family val="2"/>
      </rPr>
      <t xml:space="preserve">암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수</t>
    </r>
  </si>
  <si>
    <r>
      <rPr>
        <sz val="10"/>
        <rFont val="Noto Sans CJK SC"/>
        <family val="2"/>
      </rPr>
      <t xml:space="preserve">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거세마</t>
    </r>
    <r>
      <rPr>
        <sz val="10"/>
        <rFont val="Arial"/>
        <family val="0"/>
        <charset val="1"/>
      </rPr>
      <t xml:space="preserve">)</t>
    </r>
  </si>
  <si>
    <t xml:space="preserve">wgBudam</t>
  </si>
  <si>
    <r>
      <rPr>
        <sz val="10"/>
        <rFont val="Noto Sans CJK SC"/>
        <family val="2"/>
      </rPr>
      <t xml:space="preserve">부담중량 </t>
    </r>
    <r>
      <rPr>
        <sz val="10"/>
        <rFont val="Arial"/>
        <family val="0"/>
        <charset val="1"/>
      </rPr>
      <t xml:space="preserve">(kg)</t>
    </r>
  </si>
  <si>
    <t xml:space="preserve">50 ~ 59.5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</si>
  <si>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54.02</t>
    </r>
  </si>
  <si>
    <t xml:space="preserve">wgBudamBigo</t>
  </si>
  <si>
    <t xml:space="preserve">부담중량 비고</t>
  </si>
  <si>
    <t xml:space="preserve">- / *</t>
  </si>
  <si>
    <t xml:space="preserve">wgJk</t>
  </si>
  <si>
    <t xml:space="preserve">기수 중량</t>
  </si>
  <si>
    <t xml:space="preserve">-4 ~ 0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</si>
  <si>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-0.1941</t>
    </r>
  </si>
  <si>
    <t xml:space="preserve">wg</t>
  </si>
  <si>
    <t xml:space="preserve">출전마체중</t>
  </si>
  <si>
    <r>
      <rPr>
        <sz val="10"/>
        <rFont val="Noto Sans CJK SC"/>
        <family val="2"/>
      </rPr>
      <t xml:space="preserve">마체중 </t>
    </r>
    <r>
      <rPr>
        <sz val="10"/>
        <rFont val="Arial"/>
        <family val="0"/>
        <charset val="1"/>
      </rPr>
      <t xml:space="preserve">(kg)</t>
    </r>
  </si>
  <si>
    <t xml:space="preserve">377 ~ 584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</si>
  <si>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476</t>
    </r>
  </si>
  <si>
    <t xml:space="preserve">wg_diff</t>
  </si>
  <si>
    <t xml:space="preserve">직전 대비 체중 증감</t>
  </si>
  <si>
    <t xml:space="preserve">-35 ~ 48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</si>
  <si>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0.4911</t>
    </r>
  </si>
  <si>
    <t xml:space="preserve">rating_na</t>
  </si>
  <si>
    <t xml:space="preserve">레이팅 미부여 플래그</t>
  </si>
  <si>
    <t xml:space="preserve">False / True</t>
  </si>
  <si>
    <t xml:space="preserve">결측이 구조적임을 표시</t>
  </si>
  <si>
    <t xml:space="preserve">is_debut</t>
  </si>
  <si>
    <t xml:space="preserve">첫 출주 여부</t>
  </si>
  <si>
    <t xml:space="preserve">0 ~ 1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</si>
  <si>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0.09536</t>
    </r>
  </si>
  <si>
    <t xml:space="preserve">과거 성적 없음</t>
  </si>
  <si>
    <t xml:space="preserve">born</t>
  </si>
  <si>
    <t xml:space="preserve">산지 상세</t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</si>
  <si>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</si>
  <si>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한국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</t>
    </r>
    <r>
      <rPr>
        <sz val="10"/>
        <rFont val="Arial"/>
        <family val="0"/>
        <charset val="1"/>
      </rPr>
      <t xml:space="preserve">) = </t>
    </r>
    <r>
      <rPr>
        <sz val="10"/>
        <rFont val="Noto Sans CJK SC"/>
        <family val="2"/>
      </rPr>
      <t xml:space="preserve">포입마</t>
    </r>
  </si>
  <si>
    <t xml:space="preserve">is_new_horse</t>
  </si>
  <si>
    <t xml:space="preserve">신마 여부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</si>
  <si>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0.06426</t>
    </r>
  </si>
  <si>
    <t xml:space="preserve">bleed</t>
  </si>
  <si>
    <t xml:space="preserve">장구폐출혈</t>
  </si>
  <si>
    <t xml:space="preserve">폐출혈 횟수</t>
  </si>
  <si>
    <t xml:space="preserve">0 ~ 5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</si>
  <si>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0.02403</t>
    </r>
  </si>
  <si>
    <r>
      <rPr>
        <sz val="10"/>
        <rFont val="Noto Sans CJK SC"/>
        <family val="2"/>
      </rPr>
      <t xml:space="preserve">거의 전원 </t>
    </r>
    <r>
      <rPr>
        <sz val="10"/>
        <rFont val="Arial"/>
        <family val="0"/>
        <charset val="1"/>
      </rPr>
      <t xml:space="preserve">0</t>
    </r>
  </si>
  <si>
    <t xml:space="preserve">tool_n</t>
  </si>
  <si>
    <t xml:space="preserve">착용 장구 개수</t>
  </si>
  <si>
    <t xml:space="preserve">0 ~ 3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</si>
  <si>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2.202</t>
    </r>
  </si>
  <si>
    <t xml:space="preserve">ill_n</t>
  </si>
  <si>
    <t xml:space="preserve">과거 진료 이력 건수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</si>
  <si>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1.838</t>
    </r>
  </si>
  <si>
    <t xml:space="preserve">tool_set</t>
  </si>
  <si>
    <r>
      <rPr>
        <sz val="10"/>
        <rFont val="Noto Sans CJK SC"/>
        <family val="2"/>
      </rPr>
      <t xml:space="preserve">장구 조합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문자열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</si>
  <si>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1,062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</si>
  <si>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계란형큰고리재갈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망사눈가면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망사눈가면</t>
    </r>
  </si>
  <si>
    <r>
      <rPr>
        <sz val="10"/>
        <rFont val="Noto Sans CJK SC"/>
        <family val="2"/>
      </rPr>
      <t xml:space="preserve">망사가면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혀보정끈 등</t>
    </r>
  </si>
  <si>
    <t xml:space="preserve">clinic_30d</t>
  </si>
  <si>
    <t xml:space="preserve">마필진료</t>
  </si>
  <si>
    <r>
      <rPr>
        <sz val="10"/>
        <rFont val="Noto Sans CJK SC"/>
        <family val="2"/>
      </rPr>
      <t xml:space="preserve">경주 전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진료 건수</t>
    </r>
  </si>
  <si>
    <t xml:space="preserve">0 ~ 30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</si>
  <si>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1.877</t>
    </r>
  </si>
  <si>
    <t xml:space="preserve">train_days_14</t>
  </si>
  <si>
    <t xml:space="preserve">일별훈련</t>
  </si>
  <si>
    <r>
      <rPr>
        <sz val="10"/>
        <rFont val="Noto Sans CJK SC"/>
        <family val="2"/>
      </rPr>
      <t xml:space="preserve">경주 전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일 훈련 일수</t>
    </r>
  </si>
  <si>
    <t xml:space="preserve">0 ~ 14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</si>
  <si>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9.822</t>
    </r>
  </si>
  <si>
    <t xml:space="preserve">train_runs_14</t>
  </si>
  <si>
    <r>
      <rPr>
        <sz val="10"/>
        <rFont val="Noto Sans CJK SC"/>
        <family val="2"/>
      </rPr>
      <t xml:space="preserve">경주 전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일 훈련 주행 횟수</t>
    </r>
  </si>
  <si>
    <t xml:space="preserve">0 ~ 42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</si>
  <si>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13.27</t>
    </r>
  </si>
  <si>
    <t xml:space="preserve">train_sec_14</t>
  </si>
  <si>
    <r>
      <rPr>
        <sz val="10"/>
        <rFont val="Noto Sans CJK SC"/>
        <family val="2"/>
      </rPr>
      <t xml:space="preserve">경주 전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일 훈련 시간 합</t>
    </r>
  </si>
  <si>
    <t xml:space="preserve">0 ~ 3.462e+04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</si>
  <si>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7,499</t>
    </r>
  </si>
  <si>
    <t xml:space="preserve">start_delay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</si>
  <si>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연구용상세</t>
    </r>
  </si>
  <si>
    <r>
      <rPr>
        <sz val="10"/>
        <rFont val="Noto Sans CJK SC"/>
        <family val="2"/>
      </rPr>
      <t xml:space="preserve">발주 지연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장구점검 발생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</si>
  <si>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0.07815</t>
    </r>
  </si>
  <si>
    <t xml:space="preserve">plcOdds</t>
  </si>
  <si>
    <t xml:space="preserve">시장</t>
  </si>
  <si>
    <t xml:space="preserve">연승 확정 배당률</t>
  </si>
  <si>
    <t xml:space="preserve">0 ~ 295.7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</si>
  <si>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5.389</t>
    </r>
  </si>
  <si>
    <t xml:space="preserve">★ 마감 후 확정값</t>
  </si>
  <si>
    <t xml:space="preserve">winOdds</t>
  </si>
  <si>
    <t xml:space="preserve">단승 확정 배당률</t>
  </si>
  <si>
    <t xml:space="preserve">1 ~ 1e+04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</si>
  <si>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27.94</t>
    </r>
  </si>
  <si>
    <t xml:space="preserve">p_raw</t>
  </si>
  <si>
    <r>
      <rPr>
        <sz val="10"/>
        <rFont val="Arial"/>
        <family val="0"/>
        <charset val="1"/>
      </rPr>
      <t xml:space="preserve">1/</t>
    </r>
    <r>
      <rPr>
        <sz val="10"/>
        <rFont val="Noto Sans CJK SC"/>
        <family val="2"/>
      </rPr>
      <t xml:space="preserve">단승배당률</t>
    </r>
  </si>
  <si>
    <t xml:space="preserve">0.0001 ~ 1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</si>
  <si>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0.1182</t>
    </r>
  </si>
  <si>
    <t xml:space="preserve">정규화 전</t>
  </si>
  <si>
    <t xml:space="preserve">book_sum</t>
  </si>
  <si>
    <r>
      <rPr>
        <sz val="10"/>
        <rFont val="Noto Sans CJK SC"/>
        <family val="2"/>
      </rPr>
      <t xml:space="preserve">경주 내 </t>
    </r>
    <r>
      <rPr>
        <sz val="10"/>
        <rFont val="Arial"/>
        <family val="0"/>
        <charset val="1"/>
      </rPr>
      <t xml:space="preserve">Σ(1/</t>
    </r>
    <r>
      <rPr>
        <sz val="10"/>
        <rFont val="Noto Sans CJK SC"/>
        <family val="2"/>
      </rPr>
      <t xml:space="preserve">단승배당</t>
    </r>
    <r>
      <rPr>
        <sz val="10"/>
        <rFont val="Arial"/>
        <family val="0"/>
        <charset val="1"/>
      </rPr>
      <t xml:space="preserve">)</t>
    </r>
  </si>
  <si>
    <t xml:space="preserve">1.1 ~ 1.289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</si>
  <si>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1.249</t>
    </r>
  </si>
  <si>
    <r>
      <rPr>
        <sz val="10"/>
        <rFont val="Noto Sans CJK SC"/>
        <family val="2"/>
      </rPr>
      <t xml:space="preserve">검산용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이론 </t>
    </r>
    <r>
      <rPr>
        <sz val="10"/>
        <rFont val="Arial"/>
        <family val="0"/>
        <charset val="1"/>
      </rPr>
      <t xml:space="preserve">1.25</t>
    </r>
  </si>
  <si>
    <t xml:space="preserve">takeout</t>
  </si>
  <si>
    <t xml:space="preserve">실측 공제율</t>
  </si>
  <si>
    <t xml:space="preserve">0.0912 ~ 0.2242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</si>
  <si>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0.1993</t>
    </r>
  </si>
  <si>
    <r>
      <rPr>
        <sz val="10"/>
        <rFont val="Noto Sans CJK SC"/>
        <family val="2"/>
      </rPr>
      <t xml:space="preserve">이론 </t>
    </r>
    <r>
      <rPr>
        <sz val="10"/>
        <rFont val="Arial"/>
        <family val="0"/>
        <charset val="1"/>
      </rPr>
      <t xml:space="preserve">20%</t>
    </r>
  </si>
  <si>
    <t xml:space="preserve">q</t>
  </si>
  <si>
    <t xml:space="preserve">단승 시장 확률</t>
  </si>
  <si>
    <t xml:space="preserve">8.882e-05 ~ 0.8882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</si>
  <si>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0.09464</t>
    </r>
  </si>
  <si>
    <r>
      <rPr>
        <sz val="10"/>
        <rFont val="Noto Sans CJK SC"/>
        <family val="2"/>
      </rPr>
      <t xml:space="preserve">경주 내 합 </t>
    </r>
    <r>
      <rPr>
        <sz val="10"/>
        <rFont val="Arial"/>
        <family val="0"/>
        <charset val="1"/>
      </rPr>
      <t xml:space="preserve">= 1</t>
    </r>
  </si>
  <si>
    <t xml:space="preserve">logit_q</t>
  </si>
  <si>
    <t xml:space="preserve">ln(q/(1-q))</t>
  </si>
  <si>
    <t xml:space="preserve">-9.329 ~ 2.072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</si>
  <si>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-2.83</t>
    </r>
  </si>
  <si>
    <t xml:space="preserve">시그모이드의 역함수</t>
  </si>
  <si>
    <t xml:space="preserve">log_q</t>
  </si>
  <si>
    <t xml:space="preserve">ln(q)</t>
  </si>
  <si>
    <t xml:space="preserve">-9.329 ~ -0.1186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</si>
  <si>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-2.939</t>
    </r>
  </si>
  <si>
    <t xml:space="preserve">pop_rank</t>
  </si>
  <si>
    <r>
      <rPr>
        <sz val="10"/>
        <rFont val="Noto Sans CJK SC"/>
        <family val="2"/>
      </rPr>
      <t xml:space="preserve">인기 순위 </t>
    </r>
    <r>
      <rPr>
        <sz val="10"/>
        <rFont val="Arial"/>
        <family val="0"/>
        <charset val="1"/>
      </rPr>
      <t xml:space="preserve">(1 = </t>
    </r>
    <r>
      <rPr>
        <sz val="10"/>
        <rFont val="Noto Sans CJK SC"/>
        <family val="2"/>
      </rPr>
      <t xml:space="preserve">최고 인기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</si>
  <si>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5.845</t>
    </r>
  </si>
  <si>
    <t xml:space="preserve">pop_pct</t>
  </si>
  <si>
    <r>
      <rPr>
        <sz val="10"/>
        <rFont val="Noto Sans CJK SC"/>
        <family val="2"/>
      </rPr>
      <t xml:space="preserve">인기 백분위 </t>
    </r>
    <r>
      <rPr>
        <sz val="10"/>
        <rFont val="Arial"/>
        <family val="0"/>
        <charset val="1"/>
      </rPr>
      <t xml:space="preserve">(0=</t>
    </r>
    <r>
      <rPr>
        <sz val="10"/>
        <rFont val="Noto Sans CJK SC"/>
        <family val="2"/>
      </rPr>
      <t xml:space="preserve">최고 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최저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</si>
  <si>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0.4989</t>
    </r>
  </si>
  <si>
    <t xml:space="preserve">출주두수가 변하므로 순위 대신 사용</t>
  </si>
  <si>
    <t xml:space="preserve">is_fav</t>
  </si>
  <si>
    <r>
      <rPr>
        <sz val="10"/>
        <rFont val="Noto Sans CJK SC"/>
        <family val="2"/>
      </rPr>
      <t xml:space="preserve">인기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 여부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</si>
  <si>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0.09633</t>
    </r>
  </si>
  <si>
    <t xml:space="preserve">winAmt</t>
  </si>
  <si>
    <r>
      <rPr>
        <sz val="10"/>
        <rFont val="Noto Sans CJK SC"/>
        <family val="2"/>
      </rPr>
      <t xml:space="preserve">단승 발매금액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</si>
  <si>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t xml:space="preserve">0 ~ 8.981e+07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</si>
  <si>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3.296e+07</t>
    </r>
  </si>
  <si>
    <r>
      <rPr>
        <sz val="10"/>
        <rFont val="Noto Sans CJK SC"/>
        <family val="2"/>
      </rPr>
      <t xml:space="preserve">전체 발매의 </t>
    </r>
    <r>
      <rPr>
        <sz val="10"/>
        <rFont val="Arial"/>
        <family val="0"/>
        <charset val="1"/>
      </rPr>
      <t xml:space="preserve">1.2%</t>
    </r>
  </si>
  <si>
    <t xml:space="preserve">plcAmt</t>
  </si>
  <si>
    <t xml:space="preserve">연승 발매금액</t>
  </si>
  <si>
    <t xml:space="preserve">0 ~ 1.031e+08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</si>
  <si>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4.986e+07</t>
    </r>
  </si>
  <si>
    <t xml:space="preserve">1.7%</t>
  </si>
  <si>
    <t xml:space="preserve">totalAmt</t>
  </si>
  <si>
    <t xml:space="preserve">총 발매금액</t>
  </si>
  <si>
    <t xml:space="preserve">0 ~ 5.328e+09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</si>
  <si>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2.852e+09</t>
    </r>
  </si>
  <si>
    <r>
      <rPr>
        <sz val="10"/>
        <rFont val="Noto Sans CJK SC"/>
        <family val="2"/>
      </rPr>
      <t xml:space="preserve">복승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삼쌍승 등 포함</t>
    </r>
  </si>
  <si>
    <t xml:space="preserve">log_winAmt</t>
  </si>
  <si>
    <r>
      <rPr>
        <sz val="10"/>
        <rFont val="Arial"/>
        <family val="0"/>
        <charset val="1"/>
      </rPr>
      <t xml:space="preserve">log(1+</t>
    </r>
    <r>
      <rPr>
        <sz val="10"/>
        <rFont val="Noto Sans CJK SC"/>
        <family val="2"/>
      </rPr>
      <t xml:space="preserve">단승발매금</t>
    </r>
    <r>
      <rPr>
        <sz val="10"/>
        <rFont val="Arial"/>
        <family val="0"/>
        <charset val="1"/>
      </rPr>
      <t xml:space="preserve">)</t>
    </r>
  </si>
  <si>
    <t xml:space="preserve">0 ~ 18.31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</si>
  <si>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17.27</t>
    </r>
  </si>
  <si>
    <t xml:space="preserve">liq_per_horse</t>
  </si>
  <si>
    <t xml:space="preserve">마필당 단승 발매금</t>
  </si>
  <si>
    <t xml:space="preserve">0 ~ 7.284e+06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</si>
  <si>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3.111e+06</t>
    </r>
  </si>
  <si>
    <t xml:space="preserve">유동성 대리변수</t>
  </si>
  <si>
    <t xml:space="preserve">pl_harville</t>
  </si>
  <si>
    <t xml:space="preserve">두시장</t>
  </si>
  <si>
    <r>
      <rPr>
        <sz val="10"/>
        <rFont val="Noto Sans CJK SC"/>
        <family val="2"/>
      </rPr>
      <t xml:space="preserve">단승 확률로 계산한 입상확률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하빌</t>
    </r>
    <r>
      <rPr>
        <sz val="10"/>
        <rFont val="Arial"/>
        <family val="0"/>
        <charset val="1"/>
      </rPr>
      <t xml:space="preserve">)</t>
    </r>
  </si>
  <si>
    <t xml:space="preserve">0.002146 ~ 0.9911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</si>
  <si>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0.283</t>
    </r>
  </si>
  <si>
    <t xml:space="preserve">인기마를 과대평가함</t>
  </si>
  <si>
    <t xml:space="preserve">pl_disc</t>
  </si>
  <si>
    <t xml:space="preserve">할인 하빌 보정판</t>
  </si>
  <si>
    <t xml:space="preserve">0.005628 ~ 0.9756</t>
  </si>
  <si>
    <r>
      <rPr>
        <sz val="10"/>
        <rFont val="Arial"/>
        <family val="0"/>
        <charset val="1"/>
      </rPr>
      <t xml:space="preserve">λ=0.805 ρ=0.752, </t>
    </r>
    <r>
      <rPr>
        <sz val="10"/>
        <rFont val="Noto Sans CJK SC"/>
        <family val="2"/>
      </rPr>
      <t xml:space="preserve">한국 데이터로 추정</t>
    </r>
  </si>
  <si>
    <t xml:space="preserve">q_plc</t>
  </si>
  <si>
    <t xml:space="preserve">연승 배당에서 역산한 입상확률</t>
  </si>
  <si>
    <t xml:space="preserve">0.002724 ~ 0.9315</t>
  </si>
  <si>
    <r>
      <rPr>
        <sz val="10"/>
        <rFont val="Noto Sans CJK SC"/>
        <family val="2"/>
      </rPr>
      <t xml:space="preserve">경주 내 합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입상 자리 수</t>
    </r>
  </si>
  <si>
    <t xml:space="preserve">gap_h</t>
  </si>
  <si>
    <t xml:space="preserve">q_plc − pl_harville</t>
  </si>
  <si>
    <t xml:space="preserve">-0.3405 ~ 0.2896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</si>
  <si>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-1.522e-17</t>
    </r>
  </si>
  <si>
    <t xml:space="preserve">보정 전 불일치</t>
  </si>
  <si>
    <t xml:space="preserve">gap_d</t>
  </si>
  <si>
    <t xml:space="preserve">q_plc − pl_disc</t>
  </si>
  <si>
    <t xml:space="preserve">-0.2732 ~ 0.2922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</si>
  <si>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-3.518e-18</t>
    </r>
  </si>
  <si>
    <r>
      <rPr>
        <b val="true"/>
        <sz val="10"/>
        <color rgb="FFC00000"/>
        <rFont val="Noto Sans CJK SC"/>
        <family val="2"/>
      </rPr>
      <t xml:space="preserve">★ 핵심 변수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두 시장의 균열</t>
    </r>
  </si>
  <si>
    <t xml:space="preserve">hr_starts</t>
  </si>
  <si>
    <t xml:space="preserve">확장창</t>
  </si>
  <si>
    <r>
      <rPr>
        <sz val="10"/>
        <rFont val="Noto Sans CJK SC"/>
        <family val="2"/>
      </rPr>
      <t xml:space="preserve">마필 통산 출주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직전까지</t>
    </r>
    <r>
      <rPr>
        <sz val="10"/>
        <rFont val="Arial"/>
        <family val="0"/>
        <charset val="1"/>
      </rPr>
      <t xml:space="preserve">)</t>
    </r>
  </si>
  <si>
    <t xml:space="preserve">1 ~ 59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</si>
  <si>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8.828</t>
    </r>
  </si>
  <si>
    <t xml:space="preserve">누수 없음</t>
  </si>
  <si>
    <t xml:space="preserve">hr_winrate</t>
  </si>
  <si>
    <r>
      <rPr>
        <sz val="10"/>
        <rFont val="Noto Sans CJK SC"/>
        <family val="2"/>
      </rPr>
      <t xml:space="preserve">마필 통산 승률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직전까지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</si>
  <si>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0.1075</t>
    </r>
  </si>
  <si>
    <t xml:space="preserve">hr_plcrate</t>
  </si>
  <si>
    <t xml:space="preserve">마필 통산 입상률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</si>
  <si>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0.3116</t>
    </r>
  </si>
  <si>
    <t xml:space="preserve">hr_resid</t>
  </si>
  <si>
    <t xml:space="preserve">마필 평균 잔차</t>
  </si>
  <si>
    <t xml:space="preserve">-1 ~ 1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</si>
  <si>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0.002919</t>
    </r>
  </si>
  <si>
    <r>
      <rPr>
        <sz val="10"/>
        <rFont val="Noto Sans CJK SC"/>
        <family val="2"/>
      </rPr>
      <t xml:space="preserve">음수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시장 기대를 넘어왔다</t>
    </r>
  </si>
  <si>
    <t xml:space="preserve">jk_starts</t>
  </si>
  <si>
    <t xml:space="preserve">기수 통산 기승</t>
  </si>
  <si>
    <t xml:space="preserve">1 ~ 1,278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</si>
  <si>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432.2</t>
    </r>
  </si>
  <si>
    <t xml:space="preserve">jk_winrate</t>
  </si>
  <si>
    <t xml:space="preserve">기수 통산 승률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</si>
  <si>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0.09586</t>
    </r>
  </si>
  <si>
    <t xml:space="preserve">jk_plcrate</t>
  </si>
  <si>
    <t xml:space="preserve">기수 통산 입상률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</si>
  <si>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0.2857</t>
    </r>
  </si>
  <si>
    <t xml:space="preserve">jk_resid</t>
  </si>
  <si>
    <t xml:space="preserve">기수 평균 잔차</t>
  </si>
  <si>
    <t xml:space="preserve">-0.7273 ~ 0.7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</si>
  <si>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0.001487</t>
    </r>
  </si>
  <si>
    <t xml:space="preserve">tr_starts</t>
  </si>
  <si>
    <t xml:space="preserve">조교사 통산 출전</t>
  </si>
  <si>
    <t xml:space="preserve">1 ~ 1,554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</si>
  <si>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426.4</t>
    </r>
  </si>
  <si>
    <t xml:space="preserve">tr_winrate</t>
  </si>
  <si>
    <t xml:space="preserve">조교사 통산 승률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</si>
  <si>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0.09494</t>
    </r>
  </si>
  <si>
    <t xml:space="preserve">tr_plcrate</t>
  </si>
  <si>
    <t xml:space="preserve">조교사 통산 입상률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</si>
  <si>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0.285</t>
    </r>
  </si>
  <si>
    <t xml:space="preserve">tr_resid</t>
  </si>
  <si>
    <t xml:space="preserve">조교사 평균 잔차</t>
  </si>
  <si>
    <t xml:space="preserve">-0.625 ~ 0.8333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</si>
  <si>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0.002033</t>
    </r>
  </si>
  <si>
    <t xml:space="preserve">ow_starts</t>
  </si>
  <si>
    <t xml:space="preserve">마주 통산 출전</t>
  </si>
  <si>
    <t xml:space="preserve">1 ~ 612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</si>
  <si>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109.5</t>
    </r>
  </si>
  <si>
    <t xml:space="preserve">ow_winrate</t>
  </si>
  <si>
    <t xml:space="preserve">마주 통산 승률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</si>
  <si>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0.09778</t>
    </r>
  </si>
  <si>
    <t xml:space="preserve">ow_plcrate</t>
  </si>
  <si>
    <t xml:space="preserve">마주 통산 입상률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</si>
  <si>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0.2896</t>
    </r>
  </si>
  <si>
    <t xml:space="preserve">ow_resid</t>
  </si>
  <si>
    <t xml:space="preserve">마주 평균 잔차</t>
  </si>
  <si>
    <t xml:space="preserve">-0.8571 ~ 0.8889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</si>
  <si>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0.003567</t>
    </r>
  </si>
  <si>
    <t xml:space="preserve">hr_rest_days</t>
  </si>
  <si>
    <t xml:space="preserve">직전 경주 이후 휴양일수</t>
  </si>
  <si>
    <t xml:space="preserve">1 ~ 868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</si>
  <si>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42.65</t>
    </r>
  </si>
  <si>
    <t xml:space="preserve">hr_last_ord</t>
  </si>
  <si>
    <t xml:space="preserve">직전 경주 착순</t>
  </si>
  <si>
    <t xml:space="preserve">0 ~ 16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</si>
  <si>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5.69</t>
    </r>
  </si>
  <si>
    <t xml:space="preserve">hr_last_finpct</t>
  </si>
  <si>
    <t xml:space="preserve">직전 경주 착순 백분위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</si>
  <si>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0.4832</t>
    </r>
  </si>
  <si>
    <t xml:space="preserve">hr_last_poppct</t>
  </si>
  <si>
    <t xml:space="preserve">직전 경주 인기 백분위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</si>
  <si>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0.4885</t>
    </r>
  </si>
  <si>
    <t xml:space="preserve">hr_last_resid</t>
  </si>
  <si>
    <t xml:space="preserve">직전 경주 잔차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</si>
  <si>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-0.005288</t>
    </r>
  </si>
  <si>
    <t xml:space="preserve">hr_last_dist</t>
  </si>
  <si>
    <t xml:space="preserve">직전 경주 거리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</si>
  <si>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1,418</t>
    </r>
  </si>
  <si>
    <t xml:space="preserve">hr_last_wg</t>
  </si>
  <si>
    <t xml:space="preserve">직전 경주 마체중</t>
  </si>
  <si>
    <t xml:space="preserve">377 ~ 581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</si>
  <si>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475.8</t>
    </r>
  </si>
  <si>
    <t xml:space="preserve">hr_dist_chg</t>
  </si>
  <si>
    <t xml:space="preserve">직전 대비 거리 변화</t>
  </si>
  <si>
    <t xml:space="preserve">-1,100 ~ 1,100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</si>
  <si>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19.64</t>
    </r>
  </si>
  <si>
    <t xml:space="preserve">hr_prev_rating</t>
  </si>
  <si>
    <t xml:space="preserve">직전 경주 레이팅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</si>
  <si>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43.97</t>
    </r>
  </si>
  <si>
    <t xml:space="preserve">hr_dist_starts</t>
  </si>
  <si>
    <t xml:space="preserve">같은 거리대 출주 횟수</t>
  </si>
  <si>
    <t xml:space="preserve">0 ~ 46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</si>
  <si>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3.449</t>
    </r>
  </si>
  <si>
    <r>
      <rPr>
        <sz val="10"/>
        <rFont val="Arial"/>
        <family val="0"/>
        <charset val="1"/>
      </rPr>
      <t xml:space="preserve">200m </t>
    </r>
    <r>
      <rPr>
        <sz val="10"/>
        <rFont val="Noto Sans CJK SC"/>
        <family val="2"/>
      </rPr>
      <t xml:space="preserve">단위</t>
    </r>
  </si>
  <si>
    <t xml:space="preserve">hr_dist_winrate</t>
  </si>
  <si>
    <t xml:space="preserve">같은 거리대 승률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</si>
  <si>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0.1096</t>
    </r>
  </si>
  <si>
    <t xml:space="preserve">hr_style</t>
  </si>
  <si>
    <t xml:space="preserve">각질</t>
  </si>
  <si>
    <r>
      <rPr>
        <sz val="10"/>
        <rFont val="Noto Sans CJK SC"/>
        <family val="2"/>
      </rPr>
      <t xml:space="preserve">각질 — 과거 출발 </t>
    </r>
    <r>
      <rPr>
        <sz val="10"/>
        <rFont val="Arial"/>
        <family val="0"/>
        <charset val="1"/>
      </rPr>
      <t xml:space="preserve">1F </t>
    </r>
    <r>
      <rPr>
        <sz val="10"/>
        <rFont val="Noto Sans CJK SC"/>
        <family val="2"/>
      </rPr>
      <t xml:space="preserve">순위 백분위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</si>
  <si>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0.4881</t>
    </r>
  </si>
  <si>
    <r>
      <rPr>
        <b val="true"/>
        <sz val="10"/>
        <color rgb="FFC00000"/>
        <rFont val="Arial"/>
        <family val="0"/>
        <charset val="1"/>
      </rPr>
      <t xml:space="preserve">★ 0=</t>
    </r>
    <r>
      <rPr>
        <b val="true"/>
        <sz val="10"/>
        <color rgb="FFC00000"/>
        <rFont val="Noto Sans CJK SC"/>
        <family val="2"/>
      </rPr>
      <t xml:space="preserve">선행형 </t>
    </r>
    <r>
      <rPr>
        <b val="true"/>
        <sz val="10"/>
        <color rgb="FFC00000"/>
        <rFont val="Arial"/>
        <family val="0"/>
        <charset val="1"/>
      </rPr>
      <t xml:space="preserve">1=</t>
    </r>
    <r>
      <rPr>
        <b val="true"/>
        <sz val="10"/>
        <color rgb="FFC00000"/>
        <rFont val="Noto Sans CJK SC"/>
        <family val="2"/>
      </rPr>
      <t xml:space="preserve">추입형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부경 결측</t>
    </r>
  </si>
  <si>
    <t xml:space="preserve">hr_style_sd</t>
  </si>
  <si>
    <t xml:space="preserve">각질 일관성</t>
  </si>
  <si>
    <t xml:space="preserve">0 ~ 0.7071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</si>
  <si>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0.232</t>
    </r>
  </si>
  <si>
    <t xml:space="preserve">부경 결측</t>
  </si>
  <si>
    <t xml:space="preserve">hr_style_n</t>
  </si>
  <si>
    <t xml:space="preserve">각질 산출에 쓴 과거 경주 수</t>
  </si>
  <si>
    <t xml:space="preserve">0 ~ 43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</si>
  <si>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4.459</t>
    </r>
  </si>
  <si>
    <t xml:space="preserve">race_style_mean</t>
  </si>
  <si>
    <t xml:space="preserve">경주 내 평균 각질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</si>
  <si>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0.493</t>
    </r>
  </si>
  <si>
    <t xml:space="preserve">race_style_sd</t>
  </si>
  <si>
    <t xml:space="preserve">경주 내 각질 분산</t>
  </si>
  <si>
    <t xml:space="preserve">0.005612 ~ 0.6061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</si>
  <si>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0.2192</t>
    </r>
  </si>
  <si>
    <t xml:space="preserve">race_front_n</t>
  </si>
  <si>
    <t xml:space="preserve">경주 내 선행마 수</t>
  </si>
  <si>
    <t xml:space="preserve">0 ~ 10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</si>
  <si>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1.321</t>
    </r>
  </si>
  <si>
    <r>
      <rPr>
        <sz val="10"/>
        <rFont val="Noto Sans CJK SC"/>
        <family val="2"/>
      </rPr>
      <t xml:space="preserve">각질 </t>
    </r>
    <r>
      <rPr>
        <sz val="10"/>
        <rFont val="Arial"/>
        <family val="0"/>
        <charset val="1"/>
      </rPr>
      <t xml:space="preserve">&lt; 0.30</t>
    </r>
  </si>
  <si>
    <t xml:space="preserve">race_front_ratio</t>
  </si>
  <si>
    <t xml:space="preserve">경주 내 선행마 비율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</si>
  <si>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0.2352</t>
    </r>
  </si>
  <si>
    <t xml:space="preserve">is_front</t>
  </si>
  <si>
    <t xml:space="preserve">본인이 선행형인가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</si>
  <si>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0.1242</t>
    </r>
  </si>
  <si>
    <t xml:space="preserve">pace_conflict</t>
  </si>
  <si>
    <t xml:space="preserve">초반 페이스 경합</t>
  </si>
  <si>
    <t xml:space="preserve">0 ~ 9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</si>
  <si>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0.3072</t>
    </r>
  </si>
  <si>
    <t xml:space="preserve">선행마인데 경주에 선행마가 많음</t>
  </si>
  <si>
    <t xml:space="preserve">style_vs_race</t>
  </si>
  <si>
    <t xml:space="preserve">본인 각질 − 경주 평균</t>
  </si>
  <si>
    <t xml:space="preserve">-0.6588 ~ 0.6844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</si>
  <si>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1.407e-18</t>
    </r>
  </si>
  <si>
    <t xml:space="preserve">jkhr_starts</t>
  </si>
  <si>
    <t xml:space="preserve">조합</t>
  </si>
  <si>
    <t xml:space="preserve">그 기수가 그 말을 탄 횟수</t>
  </si>
  <si>
    <t xml:space="preserve">0 ~ 29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</si>
  <si>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1.525</t>
    </r>
  </si>
  <si>
    <t xml:space="preserve">jkhr_winrate</t>
  </si>
  <si>
    <t xml:space="preserve">그 조합의 과거 승률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</si>
  <si>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0.1515</t>
    </r>
  </si>
  <si>
    <t xml:space="preserve">tr_multi</t>
  </si>
  <si>
    <t xml:space="preserve">한 경주 내 같은 조교사 마필 수</t>
  </si>
  <si>
    <t xml:space="preserve">1 ~ 4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</si>
  <si>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1.145</t>
    </r>
  </si>
  <si>
    <r>
      <rPr>
        <sz val="10"/>
        <rFont val="Arial"/>
        <family val="0"/>
        <charset val="1"/>
      </rPr>
      <t xml:space="preserve">8%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두 이상</t>
    </r>
  </si>
  <si>
    <t xml:space="preserve">wgBudam_chg</t>
  </si>
  <si>
    <t xml:space="preserve">직전 대비 부담중량 증감</t>
  </si>
  <si>
    <t xml:space="preserve">-8 ~ 7.5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</si>
  <si>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-0.02757</t>
    </r>
  </si>
  <si>
    <t xml:space="preserve">wg__z</t>
  </si>
  <si>
    <t xml:space="preserve">상대화</t>
  </si>
  <si>
    <r>
      <rPr>
        <sz val="10"/>
        <rFont val="Noto Sans CJK SC"/>
        <family val="2"/>
      </rPr>
      <t xml:space="preserve">마체중 </t>
    </r>
    <r>
      <rPr>
        <sz val="10"/>
        <rFont val="Arial"/>
        <family val="0"/>
        <charset val="1"/>
      </rPr>
      <t xml:space="preserve">(kg) — </t>
    </r>
    <r>
      <rPr>
        <sz val="10"/>
        <rFont val="Noto Sans CJK SC"/>
        <family val="2"/>
      </rPr>
      <t xml:space="preserve">경주 내 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점수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표준화</t>
    </r>
    <r>
      <rPr>
        <sz val="10"/>
        <rFont val="Arial"/>
        <family val="0"/>
        <charset val="1"/>
      </rPr>
      <t xml:space="preserve">)</t>
    </r>
  </si>
  <si>
    <t xml:space="preserve">-2.835 ~ 2.86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</si>
  <si>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5.041e-18</t>
    </r>
  </si>
  <si>
    <t xml:space="preserve">wg__pr</t>
  </si>
  <si>
    <r>
      <rPr>
        <sz val="10"/>
        <rFont val="Noto Sans CJK SC"/>
        <family val="2"/>
      </rPr>
      <t xml:space="preserve">마체중 </t>
    </r>
    <r>
      <rPr>
        <sz val="10"/>
        <rFont val="Arial"/>
        <family val="0"/>
        <charset val="1"/>
      </rPr>
      <t xml:space="preserve">(kg) — </t>
    </r>
    <r>
      <rPr>
        <sz val="10"/>
        <rFont val="Noto Sans CJK SC"/>
        <family val="2"/>
      </rPr>
      <t xml:space="preserve">경주 내 백분위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</si>
  <si>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0.5</t>
    </r>
  </si>
  <si>
    <t xml:space="preserve">wg_diff__z</t>
  </si>
  <si>
    <r>
      <rPr>
        <sz val="10"/>
        <rFont val="Noto Sans CJK SC"/>
        <family val="2"/>
      </rPr>
      <t xml:space="preserve">직전 대비 체중 증감 — 경주 내 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점수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표준화</t>
    </r>
    <r>
      <rPr>
        <sz val="10"/>
        <rFont val="Arial"/>
        <family val="0"/>
        <charset val="1"/>
      </rPr>
      <t xml:space="preserve">)</t>
    </r>
  </si>
  <si>
    <t xml:space="preserve">-3.087 ~ 2.993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</si>
  <si>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5.508e-19</t>
    </r>
  </si>
  <si>
    <t xml:space="preserve">wg_diff__pr</t>
  </si>
  <si>
    <t xml:space="preserve">직전 대비 체중 증감 — 경주 내 백분위</t>
  </si>
  <si>
    <t xml:space="preserve">wgBudam__z</t>
  </si>
  <si>
    <r>
      <rPr>
        <sz val="10"/>
        <rFont val="Noto Sans CJK SC"/>
        <family val="2"/>
      </rPr>
      <t xml:space="preserve">부담중량 </t>
    </r>
    <r>
      <rPr>
        <sz val="10"/>
        <rFont val="Arial"/>
        <family val="0"/>
        <charset val="1"/>
      </rPr>
      <t xml:space="preserve">(kg) — </t>
    </r>
    <r>
      <rPr>
        <sz val="10"/>
        <rFont val="Noto Sans CJK SC"/>
        <family val="2"/>
      </rPr>
      <t xml:space="preserve">경주 내 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점수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표준화</t>
    </r>
    <r>
      <rPr>
        <sz val="10"/>
        <rFont val="Arial"/>
        <family val="0"/>
        <charset val="1"/>
      </rPr>
      <t xml:space="preserve">)</t>
    </r>
  </si>
  <si>
    <t xml:space="preserve">-3.75 ~ 3.175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</si>
  <si>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-3.086e-17</t>
    </r>
  </si>
  <si>
    <t xml:space="preserve">wgBudam__pr</t>
  </si>
  <si>
    <r>
      <rPr>
        <sz val="10"/>
        <rFont val="Noto Sans CJK SC"/>
        <family val="2"/>
      </rPr>
      <t xml:space="preserve">부담중량 </t>
    </r>
    <r>
      <rPr>
        <sz val="10"/>
        <rFont val="Arial"/>
        <family val="0"/>
        <charset val="1"/>
      </rPr>
      <t xml:space="preserve">(kg) — </t>
    </r>
    <r>
      <rPr>
        <sz val="10"/>
        <rFont val="Noto Sans CJK SC"/>
        <family val="2"/>
      </rPr>
      <t xml:space="preserve">경주 내 백분위</t>
    </r>
  </si>
  <si>
    <t xml:space="preserve">age__z</t>
  </si>
  <si>
    <r>
      <rPr>
        <sz val="10"/>
        <rFont val="Noto Sans CJK SC"/>
        <family val="2"/>
      </rPr>
      <t xml:space="preserve">연령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경주 내 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점수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표준화</t>
    </r>
    <r>
      <rPr>
        <sz val="10"/>
        <rFont val="Arial"/>
        <family val="0"/>
        <charset val="1"/>
      </rPr>
      <t xml:space="preserve">)</t>
    </r>
  </si>
  <si>
    <t xml:space="preserve">-3.175 ~ 3.175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</si>
  <si>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2.272e-17</t>
    </r>
  </si>
  <si>
    <t xml:space="preserve">age__pr</t>
  </si>
  <si>
    <r>
      <rPr>
        <sz val="10"/>
        <rFont val="Noto Sans CJK SC"/>
        <family val="2"/>
      </rPr>
      <t xml:space="preserve">연령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경주 내 백분위</t>
    </r>
  </si>
  <si>
    <t xml:space="preserve">rating__z</t>
  </si>
  <si>
    <r>
      <rPr>
        <sz val="10"/>
        <rFont val="Noto Sans CJK SC"/>
        <family val="2"/>
      </rPr>
      <t xml:space="preserve">마필 레이팅 — 경주 내 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점수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표준화</t>
    </r>
    <r>
      <rPr>
        <sz val="10"/>
        <rFont val="Arial"/>
        <family val="0"/>
        <charset val="1"/>
      </rPr>
      <t xml:space="preserve">)</t>
    </r>
  </si>
  <si>
    <t xml:space="preserve">-3.015 ~ 3.175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</si>
  <si>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9.588e-18</t>
    </r>
  </si>
  <si>
    <t xml:space="preserve">rating__pr</t>
  </si>
  <si>
    <t xml:space="preserve">마필 레이팅 — 경주 내 백분위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</si>
  <si>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0.4992</t>
    </r>
  </si>
  <si>
    <t xml:space="preserve">hr_winrate__z</t>
  </si>
  <si>
    <r>
      <rPr>
        <sz val="10"/>
        <rFont val="Noto Sans CJK SC"/>
        <family val="2"/>
      </rPr>
      <t xml:space="preserve">마필 통산 승률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직전까지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경주 내 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점수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표준화</t>
    </r>
    <r>
      <rPr>
        <sz val="10"/>
        <rFont val="Arial"/>
        <family val="0"/>
        <charset val="1"/>
      </rPr>
      <t xml:space="preserve">)</t>
    </r>
  </si>
  <si>
    <t xml:space="preserve">-2.318 ~ 3.615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</si>
  <si>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5.651e-18</t>
    </r>
  </si>
  <si>
    <t xml:space="preserve">hr_winrate__pr</t>
  </si>
  <si>
    <r>
      <rPr>
        <sz val="10"/>
        <rFont val="Noto Sans CJK SC"/>
        <family val="2"/>
      </rPr>
      <t xml:space="preserve">마필 통산 승률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직전까지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경주 내 백분위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</si>
  <si>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0.4786</t>
    </r>
  </si>
  <si>
    <t xml:space="preserve">hr_resid__z</t>
  </si>
  <si>
    <r>
      <rPr>
        <sz val="10"/>
        <rFont val="Noto Sans CJK SC"/>
        <family val="2"/>
      </rPr>
      <t xml:space="preserve">마필 평균 잔차 — 경주 내 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점수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표준화</t>
    </r>
    <r>
      <rPr>
        <sz val="10"/>
        <rFont val="Arial"/>
        <family val="0"/>
        <charset val="1"/>
      </rPr>
      <t xml:space="preserve">)</t>
    </r>
  </si>
  <si>
    <t xml:space="preserve">-3.22 ~ 2.885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</si>
  <si>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3.037e-20</t>
    </r>
  </si>
  <si>
    <t xml:space="preserve">hr_resid__pr</t>
  </si>
  <si>
    <t xml:space="preserve">마필 평균 잔차 — 경주 내 백분위</t>
  </si>
  <si>
    <t xml:space="preserve">jk_winrate__z</t>
  </si>
  <si>
    <r>
      <rPr>
        <sz val="10"/>
        <rFont val="Noto Sans CJK SC"/>
        <family val="2"/>
      </rPr>
      <t xml:space="preserve">기수 통산 승률 — 경주 내 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점수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표준화</t>
    </r>
    <r>
      <rPr>
        <sz val="10"/>
        <rFont val="Arial"/>
        <family val="0"/>
        <charset val="1"/>
      </rPr>
      <t xml:space="preserve">)</t>
    </r>
  </si>
  <si>
    <t xml:space="preserve">-2.577 ~ 3.117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</si>
  <si>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3.77e-18</t>
    </r>
  </si>
  <si>
    <t xml:space="preserve">jk_winrate__pr</t>
  </si>
  <si>
    <t xml:space="preserve">기수 통산 승률 — 경주 내 백분위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</si>
  <si>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0.4994</t>
    </r>
  </si>
  <si>
    <t xml:space="preserve">tr_winrate__z</t>
  </si>
  <si>
    <r>
      <rPr>
        <sz val="10"/>
        <rFont val="Noto Sans CJK SC"/>
        <family val="2"/>
      </rPr>
      <t xml:space="preserve">조교사 통산 승률 — 경주 내 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점수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표준화</t>
    </r>
    <r>
      <rPr>
        <sz val="10"/>
        <rFont val="Arial"/>
        <family val="0"/>
        <charset val="1"/>
      </rPr>
      <t xml:space="preserve">)</t>
    </r>
  </si>
  <si>
    <t xml:space="preserve">-2.787 ~ 3.287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</si>
  <si>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3.693e-19</t>
    </r>
  </si>
  <si>
    <t xml:space="preserve">tr_winrate__pr</t>
  </si>
  <si>
    <t xml:space="preserve">조교사 통산 승률 — 경주 내 백분위</t>
  </si>
  <si>
    <t xml:space="preserve">hr_rest_days__z</t>
  </si>
  <si>
    <r>
      <rPr>
        <sz val="10"/>
        <rFont val="Noto Sans CJK SC"/>
        <family val="2"/>
      </rPr>
      <t xml:space="preserve">직전 경주 이후 휴양일수 — 경주 내 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점수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표준화</t>
    </r>
    <r>
      <rPr>
        <sz val="10"/>
        <rFont val="Arial"/>
        <family val="0"/>
        <charset val="1"/>
      </rPr>
      <t xml:space="preserve">)</t>
    </r>
  </si>
  <si>
    <t xml:space="preserve">-2.94 ~ 3.705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</si>
  <si>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1.058e-17</t>
    </r>
  </si>
  <si>
    <t xml:space="preserve">hr_rest_days__pr</t>
  </si>
  <si>
    <t xml:space="preserve">직전 경주 이후 휴양일수 — 경주 내 백분위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</si>
  <si>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0.4848</t>
    </r>
  </si>
  <si>
    <t xml:space="preserve">train_runs_14__z</t>
  </si>
  <si>
    <r>
      <rPr>
        <sz val="10"/>
        <rFont val="Noto Sans CJK SC"/>
        <family val="2"/>
      </rPr>
      <t xml:space="preserve">경주 전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일 훈련 주행 횟수 — 경주 내 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점수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표준화</t>
    </r>
    <r>
      <rPr>
        <sz val="10"/>
        <rFont val="Arial"/>
        <family val="0"/>
        <charset val="1"/>
      </rPr>
      <t xml:space="preserve">)</t>
    </r>
  </si>
  <si>
    <t xml:space="preserve">-2.785 ~ 3.041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</si>
  <si>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-1.482e-18</t>
    </r>
  </si>
  <si>
    <t xml:space="preserve">train_runs_14__pr</t>
  </si>
  <si>
    <r>
      <rPr>
        <sz val="10"/>
        <rFont val="Noto Sans CJK SC"/>
        <family val="2"/>
      </rPr>
      <t xml:space="preserve">경주 전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일 훈련 주행 횟수 — 경주 내 백분위</t>
    </r>
  </si>
  <si>
    <t xml:space="preserve">bleed__pr</t>
  </si>
  <si>
    <t xml:space="preserve">폐출혈 횟수 — 경주 내 백분위</t>
  </si>
  <si>
    <t xml:space="preserve">0.3333 ~ 1</t>
  </si>
  <si>
    <t xml:space="preserve">ord</t>
  </si>
  <si>
    <t xml:space="preserve">결과</t>
  </si>
  <si>
    <t xml:space="preserve">착순</t>
  </si>
  <si>
    <t xml:space="preserve">★ 사후정보</t>
  </si>
  <si>
    <t xml:space="preserve">fin_rank</t>
  </si>
  <si>
    <t xml:space="preserve">경주 내 착순 순위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</si>
  <si>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5.849</t>
    </r>
  </si>
  <si>
    <t xml:space="preserve">fin_pct</t>
  </si>
  <si>
    <r>
      <rPr>
        <sz val="10"/>
        <rFont val="Noto Sans CJK SC"/>
        <family val="2"/>
      </rPr>
      <t xml:space="preserve">착순 백분위 </t>
    </r>
    <r>
      <rPr>
        <sz val="10"/>
        <rFont val="Arial"/>
        <family val="0"/>
        <charset val="1"/>
      </rPr>
      <t xml:space="preserve">(0=1</t>
    </r>
    <r>
      <rPr>
        <sz val="10"/>
        <rFont val="Noto Sans CJK SC"/>
        <family val="2"/>
      </rPr>
      <t xml:space="preserve">착 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꼴찌</t>
    </r>
    <r>
      <rPr>
        <sz val="10"/>
        <rFont val="Arial"/>
        <family val="0"/>
        <charset val="1"/>
      </rPr>
      <t xml:space="preserve">)</t>
    </r>
  </si>
  <si>
    <t xml:space="preserve">win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</si>
  <si>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착 여부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</si>
  <si>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0.09474</t>
    </r>
  </si>
  <si>
    <t xml:space="preserve">place</t>
  </si>
  <si>
    <t xml:space="preserve">입상 여부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</si>
  <si>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0.2845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</si>
  <si>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두 이하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착 </t>
    </r>
    <r>
      <rPr>
        <sz val="10"/>
        <rFont val="Arial"/>
        <family val="0"/>
        <charset val="1"/>
      </rPr>
      <t xml:space="preserve">· 8</t>
    </r>
    <r>
      <rPr>
        <sz val="10"/>
        <rFont val="Noto Sans CJK SC"/>
        <family val="2"/>
      </rPr>
      <t xml:space="preserve">두 이상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착까지</t>
    </r>
  </si>
  <si>
    <t xml:space="preserve">resid</t>
  </si>
  <si>
    <t xml:space="preserve">착순 백분위 − 인기 백분위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</si>
  <si>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0.0004913</t>
    </r>
  </si>
  <si>
    <r>
      <rPr>
        <b val="true"/>
        <sz val="10"/>
        <color rgb="FFC00000"/>
        <rFont val="Noto Sans CJK SC"/>
        <family val="2"/>
      </rPr>
      <t xml:space="preserve">★ 양수 </t>
    </r>
    <r>
      <rPr>
        <b val="true"/>
        <sz val="10"/>
        <color rgb="FFC00000"/>
        <rFont val="Arial"/>
        <family val="0"/>
        <charset val="1"/>
      </rPr>
      <t xml:space="preserve">= </t>
    </r>
    <r>
      <rPr>
        <b val="true"/>
        <sz val="10"/>
        <color rgb="FFC00000"/>
        <rFont val="Noto Sans CJK SC"/>
        <family val="2"/>
      </rPr>
      <t xml:space="preserve">기대보다 부진</t>
    </r>
  </si>
  <si>
    <t xml:space="preserve">upset_A</t>
  </si>
  <si>
    <t xml:space="preserve">라벨</t>
  </si>
  <si>
    <r>
      <rPr>
        <sz val="10"/>
        <rFont val="Noto Sans CJK SC"/>
        <family val="2"/>
      </rPr>
      <t xml:space="preserve">이변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형 — 인기 상위</t>
    </r>
    <r>
      <rPr>
        <sz val="10"/>
        <rFont val="Arial"/>
        <family val="0"/>
        <charset val="1"/>
      </rPr>
      <t xml:space="preserve">25% &amp; </t>
    </r>
    <r>
      <rPr>
        <sz val="10"/>
        <rFont val="Noto Sans CJK SC"/>
        <family val="2"/>
      </rPr>
      <t xml:space="preserve">착순 하위</t>
    </r>
    <r>
      <rPr>
        <sz val="10"/>
        <rFont val="Arial"/>
        <family val="0"/>
        <charset val="1"/>
      </rPr>
      <t xml:space="preserve">50%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</si>
  <si>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0.07232</t>
    </r>
  </si>
  <si>
    <r>
      <rPr>
        <b val="true"/>
        <sz val="10"/>
        <color rgb="FFC00000"/>
        <rFont val="Arial"/>
        <family val="0"/>
        <charset val="1"/>
      </rPr>
      <t xml:space="preserve">★ pop_pct&lt;=0.25 </t>
    </r>
    <r>
      <rPr>
        <b val="true"/>
        <sz val="10"/>
        <color rgb="FFC00000"/>
        <rFont val="Noto Sans CJK SC"/>
        <family val="2"/>
      </rPr>
      <t xml:space="preserve">에서만 학습</t>
    </r>
  </si>
  <si>
    <t xml:space="preserve">upset_B</t>
  </si>
  <si>
    <r>
      <rPr>
        <sz val="10"/>
        <rFont val="Noto Sans CJK SC"/>
        <family val="2"/>
      </rPr>
      <t xml:space="preserve">이변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형 — 인기 하위</t>
    </r>
    <r>
      <rPr>
        <sz val="10"/>
        <rFont val="Arial"/>
        <family val="0"/>
        <charset val="1"/>
      </rPr>
      <t xml:space="preserve">50% &amp; 1</t>
    </r>
    <r>
      <rPr>
        <sz val="10"/>
        <rFont val="Noto Sans CJK SC"/>
        <family val="2"/>
      </rPr>
      <t xml:space="preserve">착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</si>
  <si>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0.07059</t>
    </r>
  </si>
  <si>
    <r>
      <rPr>
        <b val="true"/>
        <sz val="10"/>
        <color rgb="FFC00000"/>
        <rFont val="Arial"/>
        <family val="0"/>
        <charset val="1"/>
      </rPr>
      <t xml:space="preserve">★ pop_pct&gt;=0.50 </t>
    </r>
    <r>
      <rPr>
        <b val="true"/>
        <sz val="10"/>
        <color rgb="FFC00000"/>
        <rFont val="Noto Sans CJK SC"/>
        <family val="2"/>
      </rPr>
      <t xml:space="preserve">에서만 학습</t>
    </r>
  </si>
  <si>
    <t xml:space="preserve">upset</t>
  </si>
  <si>
    <r>
      <rPr>
        <sz val="10"/>
        <rFont val="Arial"/>
        <family val="0"/>
        <charset val="1"/>
      </rPr>
      <t xml:space="preserve">0=</t>
    </r>
    <r>
      <rPr>
        <sz val="10"/>
        <rFont val="Noto Sans CJK SC"/>
        <family val="2"/>
      </rPr>
      <t xml:space="preserve">정상 </t>
    </r>
    <r>
      <rPr>
        <sz val="10"/>
        <rFont val="Arial"/>
        <family val="0"/>
        <charset val="1"/>
      </rPr>
      <t xml:space="preserve">1=A</t>
    </r>
    <r>
      <rPr>
        <sz val="10"/>
        <rFont val="Noto Sans CJK SC"/>
        <family val="2"/>
      </rPr>
      <t xml:space="preserve">형 </t>
    </r>
    <r>
      <rPr>
        <sz val="10"/>
        <rFont val="Arial"/>
        <family val="0"/>
        <charset val="1"/>
      </rPr>
      <t xml:space="preserve">2=B</t>
    </r>
    <r>
      <rPr>
        <sz val="10"/>
        <rFont val="Noto Sans CJK SC"/>
        <family val="2"/>
      </rPr>
      <t xml:space="preserve">형</t>
    </r>
  </si>
  <si>
    <t xml:space="preserve">0 ~ 2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</si>
  <si>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0.2135</t>
    </r>
  </si>
  <si>
    <t xml:space="preserve">분류별 열 수</t>
  </si>
  <si>
    <t xml:space="preserve">열 수</t>
  </si>
  <si>
    <t xml:space="preserve">비중</t>
  </si>
  <si>
    <r>
      <rPr>
        <sz val="10"/>
        <rFont val="Noto Sans CJK SC"/>
        <family val="2"/>
      </rPr>
      <t xml:space="preserve">경주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기수를 특정하는 키</t>
    </r>
  </si>
  <si>
    <r>
      <rPr>
        <sz val="10"/>
        <rFont val="Noto Sans CJK SC"/>
        <family val="2"/>
      </rPr>
      <t xml:space="preserve">경주 자체의 조건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사전 공표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</si>
  <si>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출주 시점 마필 상태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사전</t>
    </r>
    <r>
      <rPr>
        <sz val="10"/>
        <rFont val="Arial"/>
        <family val="0"/>
        <charset val="1"/>
      </rPr>
      <t xml:space="preserve">)</t>
    </r>
  </si>
  <si>
    <t xml:space="preserve">단승 배당에서 나온 값</t>
  </si>
  <si>
    <r>
      <rPr>
        <b val="true"/>
        <sz val="10"/>
        <color rgb="FFC00000"/>
        <rFont val="Noto Sans CJK SC"/>
        <family val="2"/>
      </rPr>
      <t xml:space="preserve">★ 단승 </t>
    </r>
    <r>
      <rPr>
        <b val="true"/>
        <sz val="10"/>
        <color rgb="FFC00000"/>
        <rFont val="Arial"/>
        <family val="0"/>
        <charset val="1"/>
      </rPr>
      <t xml:space="preserve">vs </t>
    </r>
    <r>
      <rPr>
        <b val="true"/>
        <sz val="10"/>
        <color rgb="FFC00000"/>
        <rFont val="Noto Sans CJK SC"/>
        <family val="2"/>
      </rPr>
      <t xml:space="preserve">연승 비교 — 이번 프로젝트 핵심</t>
    </r>
  </si>
  <si>
    <r>
      <rPr>
        <sz val="10"/>
        <rFont val="Noto Sans CJK SC"/>
        <family val="2"/>
      </rPr>
      <t xml:space="preserve">과거 성적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직전 경주까지만 집계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누수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</si>
  <si>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주행 스타일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페이스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서울만 있음</t>
    </r>
  </si>
  <si>
    <r>
      <rPr>
        <sz val="10"/>
        <rFont val="Noto Sans CJK SC"/>
        <family val="2"/>
      </rPr>
      <t xml:space="preserve">기수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마필 조합 등</t>
    </r>
  </si>
  <si>
    <r>
      <rPr>
        <sz val="10"/>
        <rFont val="Noto Sans CJK SC"/>
        <family val="2"/>
      </rPr>
      <t xml:space="preserve">경주 내 </t>
    </r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점수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백분위 </t>
    </r>
    <r>
      <rPr>
        <sz val="10"/>
        <rFont val="Arial"/>
        <family val="0"/>
        <charset val="1"/>
      </rPr>
      <t xml:space="preserve">(__z / __pr)</t>
    </r>
  </si>
  <si>
    <r>
      <rPr>
        <b val="true"/>
        <sz val="10"/>
        <color rgb="FFC00000"/>
        <rFont val="Noto Sans CJK SC"/>
        <family val="2"/>
      </rPr>
      <t xml:space="preserve">★ 사후정보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피처로 쓰면 안 됨</t>
    </r>
  </si>
  <si>
    <t xml:space="preserve">★ 예측 대상</t>
  </si>
  <si>
    <t xml:space="preserve">합계</t>
  </si>
  <si>
    <r>
      <rPr>
        <i val="true"/>
        <sz val="9"/>
        <color rgb="FF808080"/>
        <rFont val="Noto Sans CJK SC"/>
        <family val="2"/>
      </rPr>
      <t xml:space="preserve">출처</t>
    </r>
    <r>
      <rPr>
        <i val="true"/>
        <sz val="9"/>
        <color rgb="FF808080"/>
        <rFont val="Arial"/>
        <family val="0"/>
        <charset val="1"/>
      </rPr>
      <t xml:space="preserve">: prep/final.csv.gz </t>
    </r>
    <r>
      <rPr>
        <i val="true"/>
        <sz val="9"/>
        <color rgb="FF808080"/>
        <rFont val="Noto Sans CJK SC"/>
        <family val="2"/>
      </rPr>
      <t xml:space="preserve">를 </t>
    </r>
    <r>
      <rPr>
        <i val="true"/>
        <sz val="9"/>
        <color rgb="FF808080"/>
        <rFont val="Arial"/>
        <family val="0"/>
        <charset val="1"/>
      </rPr>
      <t xml:space="preserve">make_spec.py </t>
    </r>
    <r>
      <rPr>
        <i val="true"/>
        <sz val="9"/>
        <color rgb="FF808080"/>
        <rFont val="Noto Sans CJK SC"/>
        <family val="2"/>
      </rPr>
      <t xml:space="preserve">로 실측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결측률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Noto Sans CJK SC"/>
        <family val="2"/>
      </rPr>
      <t xml:space="preserve">값범위는 계산값</t>
    </r>
    <r>
      <rPr>
        <i val="true"/>
        <sz val="9"/>
        <color rgb="FF80808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</si>
</sst>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color rgb="FF606060"/>
      <name val="Arial"/>
      <family val="0"/>
      <charset val="1"/>
    </font>
    <font>
      <sz val="10"/>
      <color rgb="FF60606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Consolas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FFE8EEF4"/>
        <bgColor rgb="FFE6F0FA"/>
      </patternFill>
    </fill>
    <fill>
      <patternFill patternType="solid">
        <fgColor rgb="FFEAF3E8"/>
        <bgColor rgb="FFF2F2F2"/>
      </patternFill>
    </fill>
    <fill>
      <patternFill patternType="solid">
        <fgColor rgb="FFFDF2E0"/>
        <bgColor rgb="FFF5F5DC"/>
      </patternFill>
    </fill>
    <fill>
      <patternFill patternType="solid">
        <fgColor rgb="FFE6F0FA"/>
        <bgColor rgb="FFE8EEF4"/>
      </patternFill>
    </fill>
    <fill>
      <patternFill patternType="solid">
        <fgColor rgb="FFFFE9E9"/>
        <bgColor rgb="FFFFEBEB"/>
      </patternFill>
    </fill>
    <fill>
      <patternFill patternType="solid">
        <fgColor rgb="FFF0EAF6"/>
        <bgColor rgb="FFE8EEF4"/>
      </patternFill>
    </fill>
    <fill>
      <patternFill patternType="solid">
        <fgColor rgb="FFF5F5DC"/>
        <bgColor rgb="FFFDF2E0"/>
      </patternFill>
    </fill>
    <fill>
      <patternFill patternType="solid">
        <fgColor rgb="FFF2F2F2"/>
        <bgColor rgb="FFEAF3E8"/>
      </patternFill>
    </fill>
    <fill>
      <patternFill patternType="solid">
        <fgColor rgb="FFFFEBEB"/>
        <bgColor rgb="FFFF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F4858"/>
          <bgColor rgb="FF000000"/>
        </patternFill>
      </fill>
    </dxf>
    <dxf>
      <fill>
        <patternFill patternType="solid">
          <fgColor rgb="FFE6F0FA"/>
          <bgColor rgb="FF000000"/>
        </patternFill>
      </fill>
    </dxf>
    <dxf>
      <fill>
        <patternFill patternType="solid">
          <fgColor rgb="FFE8EEF4"/>
          <bgColor rgb="FF000000"/>
        </patternFill>
      </fill>
    </dxf>
    <dxf>
      <fill>
        <patternFill patternType="solid">
          <fgColor rgb="FFEAF3E8"/>
          <bgColor rgb="FF000000"/>
        </patternFill>
      </fill>
    </dxf>
    <dxf>
      <fill>
        <patternFill patternType="solid">
          <fgColor rgb="FFF0EAF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5F5DC"/>
          <bgColor rgb="FF000000"/>
        </patternFill>
      </fill>
    </dxf>
    <dxf>
      <fill>
        <patternFill patternType="solid">
          <fgColor rgb="FFFDF2E0"/>
          <bgColor rgb="FF000000"/>
        </patternFill>
      </fill>
    </dxf>
    <dxf>
      <fill>
        <patternFill patternType="solid">
          <fgColor rgb="FFFFE9E9"/>
          <bgColor rgb="FF000000"/>
        </patternFill>
      </fill>
    </dxf>
    <dxf>
      <fill>
        <patternFill patternType="solid">
          <fgColor rgb="FFFFEBE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0EAF6"/>
      <rgbColor rgb="FF808080"/>
      <rgbColor rgb="FF9999FF"/>
      <rgbColor rgb="FF993366"/>
      <rgbColor rgb="FFF5F5DC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E8"/>
      <rgbColor rgb="FFE8EEF4"/>
      <rgbColor rgb="FFFDF2E0"/>
      <rgbColor rgb="FFF2F2F2"/>
      <rgbColor rgb="FFFFEBEB"/>
      <rgbColor rgb="FFCC99FF"/>
      <rgbColor rgb="FFFFE9E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46"/>
    <col collapsed="false" customWidth="true" hidden="false" outlineLevel="0" max="7" min="7" style="0" width="9"/>
    <col collapsed="false" customWidth="true" hidden="false" outlineLevel="0" max="9" min="8" style="0" width="24"/>
    <col collapsed="false" customWidth="true" hidden="false" outlineLevel="0" max="10" min="10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n">
        <v>13</v>
      </c>
      <c r="B6" s="6" t="s">
        <v>13</v>
      </c>
      <c r="C6" s="7" t="s">
        <v>14</v>
      </c>
      <c r="D6" s="7" t="s">
        <v>15</v>
      </c>
      <c r="E6" s="8" t="s">
        <v>16</v>
      </c>
      <c r="F6" s="9" t="s">
        <v>17</v>
      </c>
      <c r="G6" s="10" t="n">
        <v>0</v>
      </c>
      <c r="H6" s="11" t="s">
        <v>18</v>
      </c>
      <c r="I6" s="8" t="s">
        <v>19</v>
      </c>
      <c r="J6" s="9"/>
    </row>
    <row r="7" customFormat="false" ht="15" hidden="false" customHeight="false" outlineLevel="0" collapsed="false">
      <c r="A7" s="5" t="n">
        <v>14</v>
      </c>
      <c r="B7" s="6" t="s">
        <v>20</v>
      </c>
      <c r="C7" s="7" t="s">
        <v>14</v>
      </c>
      <c r="D7" s="7" t="s">
        <v>21</v>
      </c>
      <c r="E7" s="8" t="s">
        <v>16</v>
      </c>
      <c r="F7" s="9" t="s">
        <v>22</v>
      </c>
      <c r="G7" s="10" t="n">
        <v>0</v>
      </c>
      <c r="H7" s="8" t="s">
        <v>23</v>
      </c>
      <c r="I7" s="8" t="s">
        <v>24</v>
      </c>
      <c r="J7" s="9"/>
    </row>
    <row r="8" customFormat="false" ht="15" hidden="false" customHeight="false" outlineLevel="0" collapsed="false">
      <c r="A8" s="5" t="n">
        <v>15</v>
      </c>
      <c r="B8" s="6" t="s">
        <v>25</v>
      </c>
      <c r="C8" s="7" t="s">
        <v>14</v>
      </c>
      <c r="D8" s="7" t="s">
        <v>21</v>
      </c>
      <c r="E8" s="8" t="s">
        <v>16</v>
      </c>
      <c r="F8" s="9" t="s">
        <v>26</v>
      </c>
      <c r="G8" s="10" t="n">
        <v>0</v>
      </c>
      <c r="H8" s="8" t="s">
        <v>27</v>
      </c>
      <c r="I8" s="11" t="s">
        <v>28</v>
      </c>
      <c r="J8" s="12" t="s">
        <v>29</v>
      </c>
    </row>
    <row r="9" customFormat="false" ht="15" hidden="false" customHeight="false" outlineLevel="0" collapsed="false">
      <c r="A9" s="5" t="n">
        <v>17</v>
      </c>
      <c r="B9" s="6" t="s">
        <v>30</v>
      </c>
      <c r="C9" s="7" t="s">
        <v>14</v>
      </c>
      <c r="D9" s="7" t="s">
        <v>21</v>
      </c>
      <c r="E9" s="8" t="s">
        <v>16</v>
      </c>
      <c r="F9" s="9" t="s">
        <v>31</v>
      </c>
      <c r="G9" s="10" t="n">
        <v>0</v>
      </c>
      <c r="H9" s="8" t="s">
        <v>32</v>
      </c>
      <c r="I9" s="8" t="s">
        <v>33</v>
      </c>
      <c r="J9" s="9"/>
    </row>
    <row r="10" customFormat="false" ht="15" hidden="false" customHeight="false" outlineLevel="0" collapsed="false">
      <c r="A10" s="5" t="n">
        <v>18</v>
      </c>
      <c r="B10" s="6" t="s">
        <v>34</v>
      </c>
      <c r="C10" s="7" t="s">
        <v>14</v>
      </c>
      <c r="D10" s="7" t="s">
        <v>21</v>
      </c>
      <c r="E10" s="8" t="s">
        <v>16</v>
      </c>
      <c r="F10" s="9" t="s">
        <v>35</v>
      </c>
      <c r="G10" s="10" t="n">
        <v>0</v>
      </c>
      <c r="H10" s="8" t="s">
        <v>36</v>
      </c>
      <c r="I10" s="11" t="s">
        <v>37</v>
      </c>
      <c r="J10" s="9" t="s">
        <v>38</v>
      </c>
    </row>
    <row r="11" customFormat="false" ht="15" hidden="false" customHeight="false" outlineLevel="0" collapsed="false">
      <c r="A11" s="5" t="n">
        <v>19</v>
      </c>
      <c r="B11" s="6" t="s">
        <v>39</v>
      </c>
      <c r="C11" s="7" t="s">
        <v>14</v>
      </c>
      <c r="D11" s="7" t="s">
        <v>21</v>
      </c>
      <c r="E11" s="8" t="s">
        <v>16</v>
      </c>
      <c r="F11" s="9" t="s">
        <v>40</v>
      </c>
      <c r="G11" s="10" t="n">
        <v>0</v>
      </c>
      <c r="H11" s="8" t="s">
        <v>41</v>
      </c>
      <c r="I11" s="8" t="s">
        <v>42</v>
      </c>
      <c r="J11" s="9"/>
    </row>
    <row r="12" customFormat="false" ht="15" hidden="false" customHeight="false" outlineLevel="0" collapsed="false">
      <c r="A12" s="5" t="n">
        <v>22</v>
      </c>
      <c r="B12" s="6" t="s">
        <v>43</v>
      </c>
      <c r="C12" s="7" t="s">
        <v>14</v>
      </c>
      <c r="D12" s="7" t="s">
        <v>21</v>
      </c>
      <c r="E12" s="8" t="s">
        <v>16</v>
      </c>
      <c r="F12" s="9" t="s">
        <v>44</v>
      </c>
      <c r="G12" s="10" t="n">
        <v>0.0003</v>
      </c>
      <c r="H12" s="8" t="s">
        <v>45</v>
      </c>
      <c r="I12" s="8" t="s">
        <v>46</v>
      </c>
      <c r="J12" s="9"/>
    </row>
    <row r="13" customFormat="false" ht="15" hidden="false" customHeight="false" outlineLevel="0" collapsed="false">
      <c r="A13" s="5" t="n">
        <v>23</v>
      </c>
      <c r="B13" s="6" t="s">
        <v>47</v>
      </c>
      <c r="C13" s="7" t="s">
        <v>14</v>
      </c>
      <c r="D13" s="7" t="s">
        <v>21</v>
      </c>
      <c r="E13" s="8" t="s">
        <v>16</v>
      </c>
      <c r="F13" s="9" t="s">
        <v>48</v>
      </c>
      <c r="G13" s="10" t="n">
        <v>0</v>
      </c>
      <c r="H13" s="8" t="s">
        <v>49</v>
      </c>
      <c r="I13" s="11" t="s">
        <v>50</v>
      </c>
      <c r="J13" s="9" t="s">
        <v>38</v>
      </c>
    </row>
    <row r="14" customFormat="false" ht="15" hidden="false" customHeight="false" outlineLevel="0" collapsed="false">
      <c r="A14" s="5" t="n">
        <v>28</v>
      </c>
      <c r="B14" s="6" t="s">
        <v>51</v>
      </c>
      <c r="C14" s="7" t="s">
        <v>14</v>
      </c>
      <c r="D14" s="7" t="s">
        <v>21</v>
      </c>
      <c r="E14" s="8" t="s">
        <v>16</v>
      </c>
      <c r="F14" s="9" t="s">
        <v>52</v>
      </c>
      <c r="G14" s="10" t="n">
        <v>0</v>
      </c>
      <c r="H14" s="8" t="s">
        <v>53</v>
      </c>
      <c r="I14" s="11" t="s">
        <v>54</v>
      </c>
      <c r="J14" s="9"/>
    </row>
    <row r="15" customFormat="false" ht="15" hidden="false" customHeight="false" outlineLevel="0" collapsed="false">
      <c r="A15" s="5" t="n">
        <v>29</v>
      </c>
      <c r="B15" s="6" t="s">
        <v>55</v>
      </c>
      <c r="C15" s="7" t="s">
        <v>14</v>
      </c>
      <c r="D15" s="7" t="s">
        <v>21</v>
      </c>
      <c r="E15" s="8" t="s">
        <v>16</v>
      </c>
      <c r="F15" s="9" t="s">
        <v>56</v>
      </c>
      <c r="G15" s="10" t="n">
        <v>0</v>
      </c>
      <c r="H15" s="8" t="s">
        <v>57</v>
      </c>
      <c r="I15" s="8" t="s">
        <v>58</v>
      </c>
      <c r="J15" s="9"/>
    </row>
    <row r="16" customFormat="false" ht="15" hidden="false" customHeight="false" outlineLevel="0" collapsed="false">
      <c r="A16" s="5" t="n">
        <v>32</v>
      </c>
      <c r="B16" s="6" t="s">
        <v>59</v>
      </c>
      <c r="C16" s="7" t="s">
        <v>14</v>
      </c>
      <c r="D16" s="7" t="s">
        <v>15</v>
      </c>
      <c r="E16" s="8" t="s">
        <v>16</v>
      </c>
      <c r="F16" s="9" t="s">
        <v>60</v>
      </c>
      <c r="G16" s="10" t="n">
        <v>0</v>
      </c>
      <c r="H16" s="11" t="s">
        <v>61</v>
      </c>
      <c r="I16" s="8" t="s">
        <v>62</v>
      </c>
      <c r="J16" s="9"/>
    </row>
    <row r="17" customFormat="false" ht="15" hidden="false" customHeight="false" outlineLevel="0" collapsed="false">
      <c r="A17" s="5" t="n">
        <v>34</v>
      </c>
      <c r="B17" s="6" t="s">
        <v>63</v>
      </c>
      <c r="C17" s="7" t="s">
        <v>14</v>
      </c>
      <c r="D17" s="7" t="s">
        <v>21</v>
      </c>
      <c r="E17" s="8" t="s">
        <v>16</v>
      </c>
      <c r="F17" s="9" t="s">
        <v>64</v>
      </c>
      <c r="G17" s="10" t="n">
        <v>0.0003</v>
      </c>
      <c r="H17" s="8" t="s">
        <v>65</v>
      </c>
      <c r="I17" s="8" t="s">
        <v>66</v>
      </c>
      <c r="J17" s="9"/>
    </row>
    <row r="18" customFormat="false" ht="15" hidden="false" customHeight="false" outlineLevel="0" collapsed="false">
      <c r="A18" s="5" t="n">
        <v>35</v>
      </c>
      <c r="B18" s="6" t="s">
        <v>67</v>
      </c>
      <c r="C18" s="7" t="s">
        <v>14</v>
      </c>
      <c r="D18" s="7" t="s">
        <v>21</v>
      </c>
      <c r="E18" s="8" t="s">
        <v>16</v>
      </c>
      <c r="F18" s="9" t="s">
        <v>68</v>
      </c>
      <c r="G18" s="10" t="n">
        <v>0</v>
      </c>
      <c r="H18" s="8" t="s">
        <v>65</v>
      </c>
      <c r="I18" s="11" t="s">
        <v>69</v>
      </c>
      <c r="J18" s="9" t="s">
        <v>38</v>
      </c>
    </row>
    <row r="19" customFormat="false" ht="15" hidden="false" customHeight="false" outlineLevel="0" collapsed="false">
      <c r="A19" s="5" t="n">
        <v>42</v>
      </c>
      <c r="B19" s="6" t="s">
        <v>70</v>
      </c>
      <c r="C19" s="7" t="s">
        <v>14</v>
      </c>
      <c r="D19" s="7" t="s">
        <v>15</v>
      </c>
      <c r="E19" s="8" t="s">
        <v>71</v>
      </c>
      <c r="F19" s="9" t="s">
        <v>72</v>
      </c>
      <c r="G19" s="10" t="n">
        <v>0</v>
      </c>
      <c r="H19" s="11" t="s">
        <v>73</v>
      </c>
      <c r="I19" s="8" t="s">
        <v>74</v>
      </c>
      <c r="J19" s="13" t="s">
        <v>75</v>
      </c>
    </row>
    <row r="20" customFormat="false" ht="15" hidden="false" customHeight="false" outlineLevel="0" collapsed="false">
      <c r="A20" s="5" t="n">
        <v>43</v>
      </c>
      <c r="B20" s="6" t="s">
        <v>76</v>
      </c>
      <c r="C20" s="7" t="s">
        <v>14</v>
      </c>
      <c r="D20" s="7" t="s">
        <v>21</v>
      </c>
      <c r="E20" s="8" t="s">
        <v>71</v>
      </c>
      <c r="F20" s="9" t="s">
        <v>77</v>
      </c>
      <c r="G20" s="10" t="n">
        <v>0</v>
      </c>
      <c r="H20" s="8" t="s">
        <v>78</v>
      </c>
      <c r="I20" s="11" t="s">
        <v>79</v>
      </c>
      <c r="J20" s="9" t="s">
        <v>80</v>
      </c>
    </row>
    <row r="21" customFormat="false" ht="15" hidden="false" customHeight="false" outlineLevel="0" collapsed="false">
      <c r="A21" s="5" t="n">
        <v>44</v>
      </c>
      <c r="B21" s="6" t="s">
        <v>81</v>
      </c>
      <c r="C21" s="7" t="s">
        <v>14</v>
      </c>
      <c r="D21" s="7" t="s">
        <v>21</v>
      </c>
      <c r="E21" s="8" t="s">
        <v>71</v>
      </c>
      <c r="F21" s="9" t="s">
        <v>82</v>
      </c>
      <c r="G21" s="10" t="n">
        <v>0</v>
      </c>
      <c r="H21" s="8" t="s">
        <v>83</v>
      </c>
      <c r="I21" s="11" t="s">
        <v>84</v>
      </c>
      <c r="J21" s="9" t="s">
        <v>85</v>
      </c>
    </row>
    <row r="22" customFormat="false" ht="15" hidden="false" customHeight="false" outlineLevel="0" collapsed="false">
      <c r="A22" s="5" t="n">
        <v>137</v>
      </c>
      <c r="B22" s="6" t="s">
        <v>86</v>
      </c>
      <c r="C22" s="7" t="s">
        <v>14</v>
      </c>
      <c r="D22" s="7" t="s">
        <v>21</v>
      </c>
      <c r="E22" s="8" t="s">
        <v>71</v>
      </c>
      <c r="F22" s="9" t="s">
        <v>87</v>
      </c>
      <c r="G22" s="10" t="n">
        <v>0</v>
      </c>
      <c r="H22" s="8" t="s">
        <v>88</v>
      </c>
      <c r="I22" s="11" t="s">
        <v>89</v>
      </c>
      <c r="J22" s="12" t="s">
        <v>90</v>
      </c>
    </row>
    <row r="23" customFormat="false" ht="15" hidden="false" customHeight="false" outlineLevel="0" collapsed="false">
      <c r="A23" s="14" t="n">
        <v>2</v>
      </c>
      <c r="B23" s="15" t="s">
        <v>91</v>
      </c>
      <c r="C23" s="16" t="s">
        <v>92</v>
      </c>
      <c r="D23" s="16" t="s">
        <v>21</v>
      </c>
      <c r="E23" s="17" t="s">
        <v>16</v>
      </c>
      <c r="F23" s="18" t="s">
        <v>93</v>
      </c>
      <c r="G23" s="19" t="n">
        <v>0</v>
      </c>
      <c r="H23" s="17" t="s">
        <v>94</v>
      </c>
      <c r="I23" s="17" t="s">
        <v>95</v>
      </c>
      <c r="J23" s="18"/>
    </row>
    <row r="24" customFormat="false" ht="15" hidden="false" customHeight="false" outlineLevel="0" collapsed="false">
      <c r="A24" s="14" t="n">
        <v>4</v>
      </c>
      <c r="B24" s="15" t="s">
        <v>96</v>
      </c>
      <c r="C24" s="16" t="s">
        <v>92</v>
      </c>
      <c r="D24" s="16" t="s">
        <v>21</v>
      </c>
      <c r="E24" s="17" t="s">
        <v>16</v>
      </c>
      <c r="F24" s="18" t="s">
        <v>97</v>
      </c>
      <c r="G24" s="19" t="n">
        <v>0</v>
      </c>
      <c r="H24" s="17" t="s">
        <v>98</v>
      </c>
      <c r="I24" s="17" t="s">
        <v>99</v>
      </c>
      <c r="J24" s="18" t="s">
        <v>100</v>
      </c>
    </row>
    <row r="25" customFormat="false" ht="15" hidden="false" customHeight="false" outlineLevel="0" collapsed="false">
      <c r="A25" s="14" t="n">
        <v>5</v>
      </c>
      <c r="B25" s="15" t="s">
        <v>101</v>
      </c>
      <c r="C25" s="16" t="s">
        <v>92</v>
      </c>
      <c r="D25" s="16" t="s">
        <v>15</v>
      </c>
      <c r="E25" s="17" t="s">
        <v>16</v>
      </c>
      <c r="F25" s="18" t="s">
        <v>102</v>
      </c>
      <c r="G25" s="19" t="n">
        <v>0</v>
      </c>
      <c r="H25" s="20" t="s">
        <v>103</v>
      </c>
      <c r="I25" s="17" t="s">
        <v>104</v>
      </c>
      <c r="J25" s="18"/>
    </row>
    <row r="26" customFormat="false" ht="15" hidden="false" customHeight="false" outlineLevel="0" collapsed="false">
      <c r="A26" s="14" t="n">
        <v>6</v>
      </c>
      <c r="B26" s="15" t="s">
        <v>105</v>
      </c>
      <c r="C26" s="16" t="s">
        <v>92</v>
      </c>
      <c r="D26" s="16" t="s">
        <v>15</v>
      </c>
      <c r="E26" s="17" t="s">
        <v>16</v>
      </c>
      <c r="F26" s="18" t="s">
        <v>106</v>
      </c>
      <c r="G26" s="19" t="n">
        <v>0</v>
      </c>
      <c r="H26" s="20" t="s">
        <v>107</v>
      </c>
      <c r="I26" s="17" t="s">
        <v>108</v>
      </c>
      <c r="J26" s="18"/>
    </row>
    <row r="27" customFormat="false" ht="15" hidden="false" customHeight="false" outlineLevel="0" collapsed="false">
      <c r="A27" s="14" t="n">
        <v>7</v>
      </c>
      <c r="B27" s="15" t="s">
        <v>109</v>
      </c>
      <c r="C27" s="16" t="s">
        <v>92</v>
      </c>
      <c r="D27" s="16" t="s">
        <v>15</v>
      </c>
      <c r="E27" s="17" t="s">
        <v>16</v>
      </c>
      <c r="F27" s="18" t="s">
        <v>110</v>
      </c>
      <c r="G27" s="19" t="n">
        <v>0</v>
      </c>
      <c r="H27" s="20" t="s">
        <v>111</v>
      </c>
      <c r="I27" s="17" t="s">
        <v>112</v>
      </c>
      <c r="J27" s="18"/>
    </row>
    <row r="28" customFormat="false" ht="15" hidden="false" customHeight="false" outlineLevel="0" collapsed="false">
      <c r="A28" s="14" t="n">
        <v>8</v>
      </c>
      <c r="B28" s="15" t="s">
        <v>113</v>
      </c>
      <c r="C28" s="16" t="s">
        <v>92</v>
      </c>
      <c r="D28" s="16" t="s">
        <v>15</v>
      </c>
      <c r="E28" s="17" t="s">
        <v>16</v>
      </c>
      <c r="F28" s="21" t="s">
        <v>114</v>
      </c>
      <c r="G28" s="19" t="n">
        <v>0</v>
      </c>
      <c r="H28" s="20" t="s">
        <v>115</v>
      </c>
      <c r="I28" s="17" t="s">
        <v>116</v>
      </c>
      <c r="J28" s="18" t="s">
        <v>117</v>
      </c>
    </row>
    <row r="29" customFormat="false" ht="15" hidden="false" customHeight="false" outlineLevel="0" collapsed="false">
      <c r="A29" s="14" t="n">
        <v>9</v>
      </c>
      <c r="B29" s="15" t="s">
        <v>118</v>
      </c>
      <c r="C29" s="16" t="s">
        <v>92</v>
      </c>
      <c r="D29" s="16" t="s">
        <v>15</v>
      </c>
      <c r="E29" s="17" t="s">
        <v>16</v>
      </c>
      <c r="F29" s="21" t="s">
        <v>119</v>
      </c>
      <c r="G29" s="19" t="n">
        <v>0</v>
      </c>
      <c r="H29" s="20" t="s">
        <v>120</v>
      </c>
      <c r="I29" s="17" t="s">
        <v>121</v>
      </c>
      <c r="J29" s="21"/>
    </row>
    <row r="30" customFormat="false" ht="15" hidden="false" customHeight="false" outlineLevel="0" collapsed="false">
      <c r="A30" s="14" t="n">
        <v>10</v>
      </c>
      <c r="B30" s="15" t="s">
        <v>122</v>
      </c>
      <c r="C30" s="16" t="s">
        <v>92</v>
      </c>
      <c r="D30" s="16" t="s">
        <v>15</v>
      </c>
      <c r="E30" s="17" t="s">
        <v>16</v>
      </c>
      <c r="F30" s="21" t="s">
        <v>123</v>
      </c>
      <c r="G30" s="19" t="n">
        <v>0</v>
      </c>
      <c r="H30" s="20" t="s">
        <v>124</v>
      </c>
      <c r="I30" s="17" t="s">
        <v>125</v>
      </c>
      <c r="J30" s="21"/>
    </row>
    <row r="31" customFormat="false" ht="15" hidden="false" customHeight="false" outlineLevel="0" collapsed="false">
      <c r="A31" s="14" t="n">
        <v>11</v>
      </c>
      <c r="B31" s="15" t="s">
        <v>126</v>
      </c>
      <c r="C31" s="16" t="s">
        <v>92</v>
      </c>
      <c r="D31" s="16" t="s">
        <v>15</v>
      </c>
      <c r="E31" s="17" t="s">
        <v>16</v>
      </c>
      <c r="F31" s="21" t="s">
        <v>127</v>
      </c>
      <c r="G31" s="19" t="n">
        <v>0</v>
      </c>
      <c r="H31" s="20" t="s">
        <v>128</v>
      </c>
      <c r="I31" s="17" t="s">
        <v>129</v>
      </c>
      <c r="J31" s="21"/>
    </row>
    <row r="32" customFormat="false" ht="15" hidden="false" customHeight="false" outlineLevel="0" collapsed="false">
      <c r="A32" s="14" t="n">
        <v>12</v>
      </c>
      <c r="B32" s="15" t="s">
        <v>130</v>
      </c>
      <c r="C32" s="16" t="s">
        <v>92</v>
      </c>
      <c r="D32" s="16" t="s">
        <v>15</v>
      </c>
      <c r="E32" s="17" t="s">
        <v>16</v>
      </c>
      <c r="F32" s="21" t="s">
        <v>131</v>
      </c>
      <c r="G32" s="19" t="n">
        <v>0</v>
      </c>
      <c r="H32" s="20" t="s">
        <v>132</v>
      </c>
      <c r="I32" s="17" t="s">
        <v>133</v>
      </c>
      <c r="J32" s="21"/>
    </row>
    <row r="33" customFormat="false" ht="15" hidden="false" customHeight="false" outlineLevel="0" collapsed="false">
      <c r="A33" s="14" t="n">
        <v>16</v>
      </c>
      <c r="B33" s="15" t="s">
        <v>134</v>
      </c>
      <c r="C33" s="16" t="s">
        <v>92</v>
      </c>
      <c r="D33" s="16" t="s">
        <v>15</v>
      </c>
      <c r="E33" s="17" t="s">
        <v>16</v>
      </c>
      <c r="F33" s="18" t="s">
        <v>135</v>
      </c>
      <c r="G33" s="19" t="n">
        <v>0</v>
      </c>
      <c r="H33" s="20" t="s">
        <v>136</v>
      </c>
      <c r="I33" s="17" t="s">
        <v>137</v>
      </c>
      <c r="J33" s="21"/>
    </row>
    <row r="34" customFormat="false" ht="15" hidden="false" customHeight="false" outlineLevel="0" collapsed="false">
      <c r="A34" s="14" t="n">
        <v>25</v>
      </c>
      <c r="B34" s="15" t="s">
        <v>138</v>
      </c>
      <c r="C34" s="16" t="s">
        <v>92</v>
      </c>
      <c r="D34" s="16" t="s">
        <v>21</v>
      </c>
      <c r="E34" s="17" t="s">
        <v>16</v>
      </c>
      <c r="F34" s="18" t="s">
        <v>139</v>
      </c>
      <c r="G34" s="19" t="n">
        <v>0</v>
      </c>
      <c r="H34" s="17" t="s">
        <v>140</v>
      </c>
      <c r="I34" s="20" t="s">
        <v>141</v>
      </c>
      <c r="J34" s="21"/>
    </row>
    <row r="35" customFormat="false" ht="15" hidden="false" customHeight="false" outlineLevel="0" collapsed="false">
      <c r="A35" s="14" t="n">
        <v>26</v>
      </c>
      <c r="B35" s="15" t="s">
        <v>142</v>
      </c>
      <c r="C35" s="16" t="s">
        <v>92</v>
      </c>
      <c r="D35" s="16" t="s">
        <v>21</v>
      </c>
      <c r="E35" s="17" t="s">
        <v>16</v>
      </c>
      <c r="F35" s="18" t="s">
        <v>143</v>
      </c>
      <c r="G35" s="19" t="n">
        <v>0</v>
      </c>
      <c r="H35" s="17" t="s">
        <v>144</v>
      </c>
      <c r="I35" s="17" t="s">
        <v>145</v>
      </c>
      <c r="J35" s="18" t="s">
        <v>146</v>
      </c>
    </row>
    <row r="36" customFormat="false" ht="15" hidden="false" customHeight="false" outlineLevel="0" collapsed="false">
      <c r="A36" s="14" t="n">
        <v>30</v>
      </c>
      <c r="B36" s="15" t="s">
        <v>147</v>
      </c>
      <c r="C36" s="16" t="s">
        <v>92</v>
      </c>
      <c r="D36" s="16" t="s">
        <v>15</v>
      </c>
      <c r="E36" s="17" t="s">
        <v>16</v>
      </c>
      <c r="F36" s="18" t="s">
        <v>148</v>
      </c>
      <c r="G36" s="19" t="n">
        <v>0</v>
      </c>
      <c r="H36" s="20" t="s">
        <v>149</v>
      </c>
      <c r="I36" s="17" t="s">
        <v>150</v>
      </c>
      <c r="J36" s="21" t="s">
        <v>151</v>
      </c>
    </row>
    <row r="37" customFormat="false" ht="15" hidden="false" customHeight="false" outlineLevel="0" collapsed="false">
      <c r="A37" s="14" t="n">
        <v>31</v>
      </c>
      <c r="B37" s="15" t="s">
        <v>152</v>
      </c>
      <c r="C37" s="16" t="s">
        <v>92</v>
      </c>
      <c r="D37" s="16" t="s">
        <v>21</v>
      </c>
      <c r="E37" s="17" t="s">
        <v>16</v>
      </c>
      <c r="F37" s="18" t="s">
        <v>153</v>
      </c>
      <c r="G37" s="19" t="n">
        <v>0</v>
      </c>
      <c r="H37" s="17" t="s">
        <v>154</v>
      </c>
      <c r="I37" s="17" t="s">
        <v>155</v>
      </c>
      <c r="J37" s="21"/>
    </row>
    <row r="38" customFormat="false" ht="15" hidden="false" customHeight="false" outlineLevel="0" collapsed="false">
      <c r="A38" s="14" t="n">
        <v>36</v>
      </c>
      <c r="B38" s="15" t="s">
        <v>156</v>
      </c>
      <c r="C38" s="16" t="s">
        <v>92</v>
      </c>
      <c r="D38" s="16" t="s">
        <v>21</v>
      </c>
      <c r="E38" s="17" t="s">
        <v>16</v>
      </c>
      <c r="F38" s="18" t="s">
        <v>157</v>
      </c>
      <c r="G38" s="19" t="n">
        <v>0</v>
      </c>
      <c r="H38" s="17" t="s">
        <v>158</v>
      </c>
      <c r="I38" s="17" t="s">
        <v>159</v>
      </c>
      <c r="J38" s="18" t="s">
        <v>160</v>
      </c>
    </row>
    <row r="39" customFormat="false" ht="15" hidden="false" customHeight="false" outlineLevel="0" collapsed="false">
      <c r="A39" s="14" t="n">
        <v>37</v>
      </c>
      <c r="B39" s="15" t="s">
        <v>161</v>
      </c>
      <c r="C39" s="16" t="s">
        <v>92</v>
      </c>
      <c r="D39" s="16" t="s">
        <v>21</v>
      </c>
      <c r="E39" s="17" t="s">
        <v>16</v>
      </c>
      <c r="F39" s="18" t="s">
        <v>162</v>
      </c>
      <c r="G39" s="19" t="n">
        <v>0.0002</v>
      </c>
      <c r="H39" s="17" t="s">
        <v>163</v>
      </c>
      <c r="I39" s="17" t="s">
        <v>164</v>
      </c>
      <c r="J39" s="21"/>
    </row>
    <row r="40" customFormat="false" ht="15" hidden="false" customHeight="false" outlineLevel="0" collapsed="false">
      <c r="A40" s="14" t="n">
        <v>48</v>
      </c>
      <c r="B40" s="15" t="s">
        <v>165</v>
      </c>
      <c r="C40" s="16" t="s">
        <v>92</v>
      </c>
      <c r="D40" s="16" t="s">
        <v>15</v>
      </c>
      <c r="E40" s="17" t="s">
        <v>71</v>
      </c>
      <c r="F40" s="18" t="s">
        <v>166</v>
      </c>
      <c r="G40" s="19" t="n">
        <v>0</v>
      </c>
      <c r="H40" s="20" t="s">
        <v>167</v>
      </c>
      <c r="I40" s="17" t="s">
        <v>168</v>
      </c>
      <c r="J40" s="21" t="s">
        <v>169</v>
      </c>
    </row>
    <row r="41" customFormat="false" ht="15" hidden="false" customHeight="false" outlineLevel="0" collapsed="false">
      <c r="A41" s="14" t="n">
        <v>94</v>
      </c>
      <c r="B41" s="15" t="s">
        <v>170</v>
      </c>
      <c r="C41" s="16" t="s">
        <v>92</v>
      </c>
      <c r="D41" s="16" t="s">
        <v>171</v>
      </c>
      <c r="E41" s="17" t="s">
        <v>172</v>
      </c>
      <c r="F41" s="18" t="s">
        <v>173</v>
      </c>
      <c r="G41" s="19" t="n">
        <v>0.0018</v>
      </c>
      <c r="H41" s="20" t="s">
        <v>167</v>
      </c>
      <c r="I41" s="17" t="s">
        <v>174</v>
      </c>
      <c r="J41" s="18" t="s">
        <v>175</v>
      </c>
    </row>
    <row r="42" customFormat="false" ht="15" hidden="false" customHeight="false" outlineLevel="0" collapsed="false">
      <c r="A42" s="14" t="n">
        <v>100</v>
      </c>
      <c r="B42" s="15" t="s">
        <v>176</v>
      </c>
      <c r="C42" s="16" t="s">
        <v>92</v>
      </c>
      <c r="D42" s="16" t="s">
        <v>171</v>
      </c>
      <c r="E42" s="17" t="s">
        <v>177</v>
      </c>
      <c r="F42" s="18" t="s">
        <v>178</v>
      </c>
      <c r="G42" s="19" t="n">
        <v>0.0018</v>
      </c>
      <c r="H42" s="20" t="s">
        <v>179</v>
      </c>
      <c r="I42" s="17" t="s">
        <v>180</v>
      </c>
      <c r="J42" s="21"/>
    </row>
    <row r="43" customFormat="false" ht="15" hidden="false" customHeight="false" outlineLevel="0" collapsed="false">
      <c r="A43" s="14" t="n">
        <v>101</v>
      </c>
      <c r="B43" s="15" t="s">
        <v>181</v>
      </c>
      <c r="C43" s="16" t="s">
        <v>92</v>
      </c>
      <c r="D43" s="16" t="s">
        <v>171</v>
      </c>
      <c r="E43" s="17" t="s">
        <v>177</v>
      </c>
      <c r="F43" s="18" t="s">
        <v>182</v>
      </c>
      <c r="G43" s="19" t="n">
        <v>0.0018</v>
      </c>
      <c r="H43" s="20" t="s">
        <v>183</v>
      </c>
      <c r="I43" s="17" t="s">
        <v>184</v>
      </c>
      <c r="J43" s="21"/>
    </row>
    <row r="44" customFormat="false" ht="15" hidden="false" customHeight="false" outlineLevel="0" collapsed="false">
      <c r="A44" s="14" t="n">
        <v>102</v>
      </c>
      <c r="B44" s="15" t="s">
        <v>185</v>
      </c>
      <c r="C44" s="16" t="s">
        <v>92</v>
      </c>
      <c r="D44" s="16" t="s">
        <v>171</v>
      </c>
      <c r="E44" s="17" t="s">
        <v>177</v>
      </c>
      <c r="F44" s="18" t="s">
        <v>186</v>
      </c>
      <c r="G44" s="19" t="n">
        <v>0.0018</v>
      </c>
      <c r="H44" s="20" t="s">
        <v>187</v>
      </c>
      <c r="I44" s="17" t="s">
        <v>188</v>
      </c>
      <c r="J44" s="21"/>
    </row>
    <row r="45" customFormat="false" ht="15" hidden="false" customHeight="false" outlineLevel="0" collapsed="false">
      <c r="A45" s="22" t="n">
        <v>1</v>
      </c>
      <c r="B45" s="23" t="s">
        <v>189</v>
      </c>
      <c r="C45" s="24" t="s">
        <v>190</v>
      </c>
      <c r="D45" s="24" t="s">
        <v>15</v>
      </c>
      <c r="E45" s="25" t="s">
        <v>16</v>
      </c>
      <c r="F45" s="26" t="s">
        <v>191</v>
      </c>
      <c r="G45" s="27" t="n">
        <v>0</v>
      </c>
      <c r="H45" s="28" t="s">
        <v>192</v>
      </c>
      <c r="I45" s="25" t="s">
        <v>193</v>
      </c>
      <c r="J45" s="26"/>
    </row>
    <row r="46" customFormat="false" ht="15" hidden="false" customHeight="false" outlineLevel="0" collapsed="false">
      <c r="A46" s="22" t="n">
        <v>3</v>
      </c>
      <c r="B46" s="23" t="s">
        <v>194</v>
      </c>
      <c r="C46" s="24" t="s">
        <v>190</v>
      </c>
      <c r="D46" s="24" t="s">
        <v>15</v>
      </c>
      <c r="E46" s="25" t="s">
        <v>16</v>
      </c>
      <c r="F46" s="26" t="s">
        <v>195</v>
      </c>
      <c r="G46" s="27" t="n">
        <v>0</v>
      </c>
      <c r="H46" s="28" t="s">
        <v>196</v>
      </c>
      <c r="I46" s="25" t="s">
        <v>197</v>
      </c>
      <c r="J46" s="26"/>
    </row>
    <row r="47" customFormat="false" ht="15" hidden="false" customHeight="false" outlineLevel="0" collapsed="false">
      <c r="A47" s="22" t="n">
        <v>20</v>
      </c>
      <c r="B47" s="23" t="s">
        <v>198</v>
      </c>
      <c r="C47" s="24" t="s">
        <v>190</v>
      </c>
      <c r="D47" s="24" t="s">
        <v>21</v>
      </c>
      <c r="E47" s="25" t="s">
        <v>16</v>
      </c>
      <c r="F47" s="26" t="s">
        <v>199</v>
      </c>
      <c r="G47" s="27" t="n">
        <v>0</v>
      </c>
      <c r="H47" s="25" t="s">
        <v>57</v>
      </c>
      <c r="I47" s="25" t="s">
        <v>200</v>
      </c>
      <c r="J47" s="26" t="s">
        <v>201</v>
      </c>
    </row>
    <row r="48" customFormat="false" ht="15" hidden="false" customHeight="false" outlineLevel="0" collapsed="false">
      <c r="A48" s="22" t="n">
        <v>27</v>
      </c>
      <c r="B48" s="23" t="s">
        <v>202</v>
      </c>
      <c r="C48" s="24" t="s">
        <v>190</v>
      </c>
      <c r="D48" s="24" t="s">
        <v>171</v>
      </c>
      <c r="E48" s="25" t="s">
        <v>16</v>
      </c>
      <c r="F48" s="26" t="s">
        <v>203</v>
      </c>
      <c r="G48" s="27" t="n">
        <v>0.2803</v>
      </c>
      <c r="H48" s="28" t="s">
        <v>204</v>
      </c>
      <c r="I48" s="25" t="s">
        <v>205</v>
      </c>
      <c r="J48" s="29" t="s">
        <v>206</v>
      </c>
    </row>
    <row r="49" customFormat="false" ht="15" hidden="false" customHeight="false" outlineLevel="0" collapsed="false">
      <c r="A49" s="22" t="n">
        <v>33</v>
      </c>
      <c r="B49" s="23" t="s">
        <v>207</v>
      </c>
      <c r="C49" s="24" t="s">
        <v>190</v>
      </c>
      <c r="D49" s="24" t="s">
        <v>21</v>
      </c>
      <c r="E49" s="25" t="s">
        <v>16</v>
      </c>
      <c r="F49" s="26" t="s">
        <v>208</v>
      </c>
      <c r="G49" s="27" t="n">
        <v>0</v>
      </c>
      <c r="H49" s="25" t="s">
        <v>88</v>
      </c>
      <c r="I49" s="25" t="s">
        <v>209</v>
      </c>
      <c r="J49" s="26" t="s">
        <v>210</v>
      </c>
    </row>
    <row r="50" customFormat="false" ht="15" hidden="false" customHeight="false" outlineLevel="0" collapsed="false">
      <c r="A50" s="22" t="n">
        <v>38</v>
      </c>
      <c r="B50" s="23" t="s">
        <v>211</v>
      </c>
      <c r="C50" s="24" t="s">
        <v>190</v>
      </c>
      <c r="D50" s="24" t="s">
        <v>171</v>
      </c>
      <c r="E50" s="25" t="s">
        <v>16</v>
      </c>
      <c r="F50" s="26" t="s">
        <v>212</v>
      </c>
      <c r="G50" s="27" t="n">
        <v>0</v>
      </c>
      <c r="H50" s="28" t="s">
        <v>213</v>
      </c>
      <c r="I50" s="25" t="s">
        <v>214</v>
      </c>
      <c r="J50" s="26"/>
    </row>
    <row r="51" customFormat="false" ht="15" hidden="false" customHeight="false" outlineLevel="0" collapsed="false">
      <c r="A51" s="22" t="n">
        <v>39</v>
      </c>
      <c r="B51" s="23" t="s">
        <v>215</v>
      </c>
      <c r="C51" s="24" t="s">
        <v>190</v>
      </c>
      <c r="D51" s="24" t="s">
        <v>21</v>
      </c>
      <c r="E51" s="25" t="s">
        <v>16</v>
      </c>
      <c r="F51" s="26" t="s">
        <v>216</v>
      </c>
      <c r="G51" s="27" t="n">
        <v>0</v>
      </c>
      <c r="H51" s="25" t="s">
        <v>41</v>
      </c>
      <c r="I51" s="28" t="s">
        <v>217</v>
      </c>
      <c r="J51" s="26"/>
    </row>
    <row r="52" customFormat="false" ht="15" hidden="false" customHeight="false" outlineLevel="0" collapsed="false">
      <c r="A52" s="22" t="n">
        <v>40</v>
      </c>
      <c r="B52" s="23" t="s">
        <v>218</v>
      </c>
      <c r="C52" s="24" t="s">
        <v>190</v>
      </c>
      <c r="D52" s="24" t="s">
        <v>15</v>
      </c>
      <c r="E52" s="25" t="s">
        <v>16</v>
      </c>
      <c r="F52" s="26" t="s">
        <v>219</v>
      </c>
      <c r="G52" s="27" t="n">
        <v>0</v>
      </c>
      <c r="H52" s="28" t="s">
        <v>220</v>
      </c>
      <c r="I52" s="25" t="s">
        <v>221</v>
      </c>
      <c r="J52" s="26"/>
    </row>
    <row r="53" customFormat="false" ht="15" hidden="false" customHeight="false" outlineLevel="0" collapsed="false">
      <c r="A53" s="22" t="n">
        <v>45</v>
      </c>
      <c r="B53" s="23" t="s">
        <v>222</v>
      </c>
      <c r="C53" s="24" t="s">
        <v>190</v>
      </c>
      <c r="D53" s="24" t="s">
        <v>15</v>
      </c>
      <c r="E53" s="25" t="s">
        <v>223</v>
      </c>
      <c r="F53" s="26" t="s">
        <v>224</v>
      </c>
      <c r="G53" s="27" t="n">
        <v>0</v>
      </c>
      <c r="H53" s="28" t="s">
        <v>225</v>
      </c>
      <c r="I53" s="25" t="s">
        <v>226</v>
      </c>
      <c r="J53" s="26"/>
    </row>
    <row r="54" customFormat="false" ht="15" hidden="false" customHeight="false" outlineLevel="0" collapsed="false">
      <c r="A54" s="22" t="n">
        <v>46</v>
      </c>
      <c r="B54" s="23" t="s">
        <v>227</v>
      </c>
      <c r="C54" s="24" t="s">
        <v>190</v>
      </c>
      <c r="D54" s="24" t="s">
        <v>171</v>
      </c>
      <c r="E54" s="25" t="s">
        <v>223</v>
      </c>
      <c r="F54" s="26" t="s">
        <v>228</v>
      </c>
      <c r="G54" s="27" t="n">
        <v>0.0001</v>
      </c>
      <c r="H54" s="28" t="s">
        <v>229</v>
      </c>
      <c r="I54" s="25" t="s">
        <v>230</v>
      </c>
      <c r="J54" s="26"/>
    </row>
    <row r="55" customFormat="false" ht="15" hidden="false" customHeight="false" outlineLevel="0" collapsed="false">
      <c r="A55" s="22" t="n">
        <v>47</v>
      </c>
      <c r="B55" s="23" t="s">
        <v>231</v>
      </c>
      <c r="C55" s="24" t="s">
        <v>190</v>
      </c>
      <c r="D55" s="24" t="s">
        <v>21</v>
      </c>
      <c r="E55" s="25" t="s">
        <v>71</v>
      </c>
      <c r="F55" s="26" t="s">
        <v>232</v>
      </c>
      <c r="G55" s="27" t="n">
        <v>0</v>
      </c>
      <c r="H55" s="25" t="s">
        <v>41</v>
      </c>
      <c r="I55" s="28" t="s">
        <v>233</v>
      </c>
      <c r="J55" s="26" t="s">
        <v>234</v>
      </c>
    </row>
    <row r="56" customFormat="false" ht="15" hidden="false" customHeight="false" outlineLevel="0" collapsed="false">
      <c r="A56" s="22" t="n">
        <v>91</v>
      </c>
      <c r="B56" s="23" t="s">
        <v>235</v>
      </c>
      <c r="C56" s="24" t="s">
        <v>190</v>
      </c>
      <c r="D56" s="24" t="s">
        <v>15</v>
      </c>
      <c r="E56" s="25" t="s">
        <v>71</v>
      </c>
      <c r="F56" s="26" t="s">
        <v>236</v>
      </c>
      <c r="G56" s="27" t="n">
        <v>0</v>
      </c>
      <c r="H56" s="28" t="s">
        <v>237</v>
      </c>
      <c r="I56" s="25" t="s">
        <v>238</v>
      </c>
      <c r="J56" s="26" t="s">
        <v>239</v>
      </c>
    </row>
    <row r="57" customFormat="false" ht="15" hidden="false" customHeight="false" outlineLevel="0" collapsed="false">
      <c r="A57" s="22" t="n">
        <v>95</v>
      </c>
      <c r="B57" s="23" t="s">
        <v>240</v>
      </c>
      <c r="C57" s="24" t="s">
        <v>190</v>
      </c>
      <c r="D57" s="24" t="s">
        <v>21</v>
      </c>
      <c r="E57" s="25" t="s">
        <v>172</v>
      </c>
      <c r="F57" s="26" t="s">
        <v>241</v>
      </c>
      <c r="G57" s="27" t="n">
        <v>0.0018</v>
      </c>
      <c r="H57" s="25" t="s">
        <v>242</v>
      </c>
      <c r="I57" s="25" t="s">
        <v>200</v>
      </c>
      <c r="J57" s="26" t="s">
        <v>243</v>
      </c>
    </row>
    <row r="58" customFormat="false" ht="15" hidden="false" customHeight="false" outlineLevel="0" collapsed="false">
      <c r="A58" s="22" t="n">
        <v>96</v>
      </c>
      <c r="B58" s="23" t="s">
        <v>244</v>
      </c>
      <c r="C58" s="24" t="s">
        <v>190</v>
      </c>
      <c r="D58" s="24" t="s">
        <v>15</v>
      </c>
      <c r="E58" s="25" t="s">
        <v>223</v>
      </c>
      <c r="F58" s="26" t="s">
        <v>245</v>
      </c>
      <c r="G58" s="27" t="n">
        <v>0</v>
      </c>
      <c r="H58" s="28" t="s">
        <v>237</v>
      </c>
      <c r="I58" s="25" t="s">
        <v>246</v>
      </c>
      <c r="J58" s="26"/>
    </row>
    <row r="59" customFormat="false" ht="15" hidden="false" customHeight="false" outlineLevel="0" collapsed="false">
      <c r="A59" s="22" t="n">
        <v>105</v>
      </c>
      <c r="B59" s="23" t="s">
        <v>247</v>
      </c>
      <c r="C59" s="24" t="s">
        <v>190</v>
      </c>
      <c r="D59" s="24" t="s">
        <v>171</v>
      </c>
      <c r="E59" s="25" t="s">
        <v>248</v>
      </c>
      <c r="F59" s="26" t="s">
        <v>249</v>
      </c>
      <c r="G59" s="27" t="n">
        <v>0.0018</v>
      </c>
      <c r="H59" s="28" t="s">
        <v>250</v>
      </c>
      <c r="I59" s="25" t="s">
        <v>251</v>
      </c>
      <c r="J59" s="26" t="s">
        <v>252</v>
      </c>
    </row>
    <row r="60" customFormat="false" ht="15" hidden="false" customHeight="false" outlineLevel="0" collapsed="false">
      <c r="A60" s="22" t="n">
        <v>106</v>
      </c>
      <c r="B60" s="23" t="s">
        <v>253</v>
      </c>
      <c r="C60" s="24" t="s">
        <v>190</v>
      </c>
      <c r="D60" s="24" t="s">
        <v>171</v>
      </c>
      <c r="E60" s="25" t="s">
        <v>248</v>
      </c>
      <c r="F60" s="26" t="s">
        <v>254</v>
      </c>
      <c r="G60" s="27" t="n">
        <v>0.0018</v>
      </c>
      <c r="H60" s="28" t="s">
        <v>255</v>
      </c>
      <c r="I60" s="25" t="s">
        <v>256</v>
      </c>
      <c r="J60" s="26"/>
    </row>
    <row r="61" customFormat="false" ht="15" hidden="false" customHeight="false" outlineLevel="0" collapsed="false">
      <c r="A61" s="22" t="n">
        <v>107</v>
      </c>
      <c r="B61" s="23" t="s">
        <v>257</v>
      </c>
      <c r="C61" s="24" t="s">
        <v>190</v>
      </c>
      <c r="D61" s="24" t="s">
        <v>171</v>
      </c>
      <c r="E61" s="25" t="s">
        <v>248</v>
      </c>
      <c r="F61" s="26" t="s">
        <v>258</v>
      </c>
      <c r="G61" s="27" t="n">
        <v>0.0018</v>
      </c>
      <c r="H61" s="28" t="s">
        <v>255</v>
      </c>
      <c r="I61" s="25" t="s">
        <v>259</v>
      </c>
      <c r="J61" s="26"/>
    </row>
    <row r="62" customFormat="false" ht="15" hidden="false" customHeight="false" outlineLevel="0" collapsed="false">
      <c r="A62" s="22" t="n">
        <v>108</v>
      </c>
      <c r="B62" s="23" t="s">
        <v>260</v>
      </c>
      <c r="C62" s="24" t="s">
        <v>190</v>
      </c>
      <c r="D62" s="24" t="s">
        <v>21</v>
      </c>
      <c r="E62" s="25" t="s">
        <v>248</v>
      </c>
      <c r="F62" s="26" t="s">
        <v>261</v>
      </c>
      <c r="G62" s="27" t="n">
        <v>0.0018</v>
      </c>
      <c r="H62" s="25" t="s">
        <v>262</v>
      </c>
      <c r="I62" s="25" t="s">
        <v>263</v>
      </c>
      <c r="J62" s="26" t="s">
        <v>264</v>
      </c>
    </row>
    <row r="63" customFormat="false" ht="15" hidden="false" customHeight="false" outlineLevel="0" collapsed="false">
      <c r="A63" s="22" t="n">
        <v>109</v>
      </c>
      <c r="B63" s="23" t="s">
        <v>265</v>
      </c>
      <c r="C63" s="24" t="s">
        <v>190</v>
      </c>
      <c r="D63" s="24" t="s">
        <v>15</v>
      </c>
      <c r="E63" s="25" t="s">
        <v>266</v>
      </c>
      <c r="F63" s="26" t="s">
        <v>267</v>
      </c>
      <c r="G63" s="27" t="n">
        <v>0</v>
      </c>
      <c r="H63" s="28" t="s">
        <v>268</v>
      </c>
      <c r="I63" s="25" t="s">
        <v>269</v>
      </c>
      <c r="J63" s="26"/>
    </row>
    <row r="64" customFormat="false" ht="15" hidden="false" customHeight="false" outlineLevel="0" collapsed="false">
      <c r="A64" s="22" t="n">
        <v>110</v>
      </c>
      <c r="B64" s="23" t="s">
        <v>270</v>
      </c>
      <c r="C64" s="24" t="s">
        <v>190</v>
      </c>
      <c r="D64" s="24" t="s">
        <v>15</v>
      </c>
      <c r="E64" s="25" t="s">
        <v>271</v>
      </c>
      <c r="F64" s="26" t="s">
        <v>272</v>
      </c>
      <c r="G64" s="27" t="n">
        <v>0</v>
      </c>
      <c r="H64" s="28" t="s">
        <v>273</v>
      </c>
      <c r="I64" s="25" t="s">
        <v>274</v>
      </c>
      <c r="J64" s="26"/>
    </row>
    <row r="65" customFormat="false" ht="15" hidden="false" customHeight="false" outlineLevel="0" collapsed="false">
      <c r="A65" s="22" t="n">
        <v>111</v>
      </c>
      <c r="B65" s="23" t="s">
        <v>275</v>
      </c>
      <c r="C65" s="24" t="s">
        <v>190</v>
      </c>
      <c r="D65" s="24" t="s">
        <v>171</v>
      </c>
      <c r="E65" s="25" t="s">
        <v>271</v>
      </c>
      <c r="F65" s="26" t="s">
        <v>276</v>
      </c>
      <c r="G65" s="27" t="n">
        <v>0</v>
      </c>
      <c r="H65" s="28" t="s">
        <v>277</v>
      </c>
      <c r="I65" s="25" t="s">
        <v>278</v>
      </c>
      <c r="J65" s="26"/>
    </row>
    <row r="66" customFormat="false" ht="15" hidden="false" customHeight="false" outlineLevel="0" collapsed="false">
      <c r="A66" s="22" t="n">
        <v>112</v>
      </c>
      <c r="B66" s="23" t="s">
        <v>279</v>
      </c>
      <c r="C66" s="24" t="s">
        <v>190</v>
      </c>
      <c r="D66" s="24" t="s">
        <v>171</v>
      </c>
      <c r="E66" s="25" t="s">
        <v>271</v>
      </c>
      <c r="F66" s="26" t="s">
        <v>280</v>
      </c>
      <c r="G66" s="27" t="n">
        <v>0</v>
      </c>
      <c r="H66" s="28" t="s">
        <v>281</v>
      </c>
      <c r="I66" s="25" t="s">
        <v>282</v>
      </c>
      <c r="J66" s="26"/>
    </row>
    <row r="67" customFormat="false" ht="15" hidden="false" customHeight="false" outlineLevel="0" collapsed="false">
      <c r="A67" s="22" t="n">
        <v>113</v>
      </c>
      <c r="B67" s="23" t="s">
        <v>283</v>
      </c>
      <c r="C67" s="24" t="s">
        <v>190</v>
      </c>
      <c r="D67" s="24" t="s">
        <v>15</v>
      </c>
      <c r="E67" s="28" t="s">
        <v>284</v>
      </c>
      <c r="F67" s="26" t="s">
        <v>285</v>
      </c>
      <c r="G67" s="27" t="n">
        <v>0</v>
      </c>
      <c r="H67" s="28" t="s">
        <v>237</v>
      </c>
      <c r="I67" s="25" t="s">
        <v>286</v>
      </c>
      <c r="J67" s="26"/>
    </row>
    <row r="68" customFormat="false" ht="15" hidden="false" customHeight="false" outlineLevel="0" collapsed="false">
      <c r="A68" s="30" t="n">
        <v>24</v>
      </c>
      <c r="B68" s="31" t="s">
        <v>287</v>
      </c>
      <c r="C68" s="32" t="s">
        <v>288</v>
      </c>
      <c r="D68" s="32" t="s">
        <v>171</v>
      </c>
      <c r="E68" s="33" t="s">
        <v>16</v>
      </c>
      <c r="F68" s="34" t="s">
        <v>289</v>
      </c>
      <c r="G68" s="35" t="n">
        <v>0</v>
      </c>
      <c r="H68" s="36" t="s">
        <v>290</v>
      </c>
      <c r="I68" s="33" t="s">
        <v>291</v>
      </c>
      <c r="J68" s="37" t="s">
        <v>292</v>
      </c>
    </row>
    <row r="69" customFormat="false" ht="15" hidden="false" customHeight="false" outlineLevel="0" collapsed="false">
      <c r="A69" s="30" t="n">
        <v>41</v>
      </c>
      <c r="B69" s="31" t="s">
        <v>293</v>
      </c>
      <c r="C69" s="32" t="s">
        <v>288</v>
      </c>
      <c r="D69" s="32" t="s">
        <v>171</v>
      </c>
      <c r="E69" s="33" t="s">
        <v>16</v>
      </c>
      <c r="F69" s="34" t="s">
        <v>294</v>
      </c>
      <c r="G69" s="35" t="n">
        <v>0</v>
      </c>
      <c r="H69" s="36" t="s">
        <v>295</v>
      </c>
      <c r="I69" s="33" t="s">
        <v>296</v>
      </c>
      <c r="J69" s="37" t="s">
        <v>292</v>
      </c>
    </row>
    <row r="70" customFormat="false" ht="15" hidden="false" customHeight="false" outlineLevel="0" collapsed="false">
      <c r="A70" s="30" t="n">
        <v>49</v>
      </c>
      <c r="B70" s="31" t="s">
        <v>297</v>
      </c>
      <c r="C70" s="32" t="s">
        <v>288</v>
      </c>
      <c r="D70" s="32" t="s">
        <v>171</v>
      </c>
      <c r="E70" s="33" t="s">
        <v>71</v>
      </c>
      <c r="F70" s="38" t="s">
        <v>298</v>
      </c>
      <c r="G70" s="35" t="n">
        <v>0</v>
      </c>
      <c r="H70" s="36" t="s">
        <v>299</v>
      </c>
      <c r="I70" s="33" t="s">
        <v>300</v>
      </c>
      <c r="J70" s="34" t="s">
        <v>301</v>
      </c>
    </row>
    <row r="71" customFormat="false" ht="15" hidden="false" customHeight="false" outlineLevel="0" collapsed="false">
      <c r="A71" s="30" t="n">
        <v>50</v>
      </c>
      <c r="B71" s="31" t="s">
        <v>302</v>
      </c>
      <c r="C71" s="32" t="s">
        <v>288</v>
      </c>
      <c r="D71" s="32" t="s">
        <v>171</v>
      </c>
      <c r="E71" s="33" t="s">
        <v>71</v>
      </c>
      <c r="F71" s="34" t="s">
        <v>303</v>
      </c>
      <c r="G71" s="35" t="n">
        <v>0</v>
      </c>
      <c r="H71" s="36" t="s">
        <v>304</v>
      </c>
      <c r="I71" s="33" t="s">
        <v>305</v>
      </c>
      <c r="J71" s="34" t="s">
        <v>306</v>
      </c>
    </row>
    <row r="72" customFormat="false" ht="15" hidden="false" customHeight="false" outlineLevel="0" collapsed="false">
      <c r="A72" s="30" t="n">
        <v>51</v>
      </c>
      <c r="B72" s="31" t="s">
        <v>307</v>
      </c>
      <c r="C72" s="32" t="s">
        <v>288</v>
      </c>
      <c r="D72" s="32" t="s">
        <v>171</v>
      </c>
      <c r="E72" s="33" t="s">
        <v>71</v>
      </c>
      <c r="F72" s="34" t="s">
        <v>308</v>
      </c>
      <c r="G72" s="35" t="n">
        <v>0</v>
      </c>
      <c r="H72" s="36" t="s">
        <v>309</v>
      </c>
      <c r="I72" s="33" t="s">
        <v>310</v>
      </c>
      <c r="J72" s="34" t="s">
        <v>311</v>
      </c>
    </row>
    <row r="73" customFormat="false" ht="15" hidden="false" customHeight="false" outlineLevel="0" collapsed="false">
      <c r="A73" s="30" t="n">
        <v>52</v>
      </c>
      <c r="B73" s="31" t="s">
        <v>312</v>
      </c>
      <c r="C73" s="32" t="s">
        <v>288</v>
      </c>
      <c r="D73" s="32" t="s">
        <v>171</v>
      </c>
      <c r="E73" s="33" t="s">
        <v>71</v>
      </c>
      <c r="F73" s="34" t="s">
        <v>313</v>
      </c>
      <c r="G73" s="35" t="n">
        <v>0</v>
      </c>
      <c r="H73" s="36" t="s">
        <v>314</v>
      </c>
      <c r="I73" s="33" t="s">
        <v>315</v>
      </c>
      <c r="J73" s="34" t="s">
        <v>316</v>
      </c>
    </row>
    <row r="74" customFormat="false" ht="15" hidden="false" customHeight="false" outlineLevel="0" collapsed="false">
      <c r="A74" s="30" t="n">
        <v>53</v>
      </c>
      <c r="B74" s="31" t="s">
        <v>317</v>
      </c>
      <c r="C74" s="32" t="s">
        <v>288</v>
      </c>
      <c r="D74" s="32" t="s">
        <v>171</v>
      </c>
      <c r="E74" s="33" t="s">
        <v>71</v>
      </c>
      <c r="F74" s="38" t="s">
        <v>318</v>
      </c>
      <c r="G74" s="35" t="n">
        <v>0</v>
      </c>
      <c r="H74" s="36" t="s">
        <v>319</v>
      </c>
      <c r="I74" s="33" t="s">
        <v>320</v>
      </c>
      <c r="J74" s="34" t="s">
        <v>321</v>
      </c>
    </row>
    <row r="75" customFormat="false" ht="15" hidden="false" customHeight="false" outlineLevel="0" collapsed="false">
      <c r="A75" s="30" t="n">
        <v>54</v>
      </c>
      <c r="B75" s="31" t="s">
        <v>322</v>
      </c>
      <c r="C75" s="32" t="s">
        <v>288</v>
      </c>
      <c r="D75" s="32" t="s">
        <v>171</v>
      </c>
      <c r="E75" s="33" t="s">
        <v>71</v>
      </c>
      <c r="F75" s="38" t="s">
        <v>323</v>
      </c>
      <c r="G75" s="35" t="n">
        <v>0</v>
      </c>
      <c r="H75" s="36" t="s">
        <v>324</v>
      </c>
      <c r="I75" s="33" t="s">
        <v>325</v>
      </c>
      <c r="J75" s="38"/>
    </row>
    <row r="76" customFormat="false" ht="15" hidden="false" customHeight="false" outlineLevel="0" collapsed="false">
      <c r="A76" s="30" t="n">
        <v>55</v>
      </c>
      <c r="B76" s="31" t="s">
        <v>326</v>
      </c>
      <c r="C76" s="32" t="s">
        <v>288</v>
      </c>
      <c r="D76" s="32" t="s">
        <v>171</v>
      </c>
      <c r="E76" s="33" t="s">
        <v>71</v>
      </c>
      <c r="F76" s="34" t="s">
        <v>327</v>
      </c>
      <c r="G76" s="35" t="n">
        <v>0</v>
      </c>
      <c r="H76" s="36" t="s">
        <v>18</v>
      </c>
      <c r="I76" s="33" t="s">
        <v>328</v>
      </c>
      <c r="J76" s="38"/>
    </row>
    <row r="77" customFormat="false" ht="15" hidden="false" customHeight="false" outlineLevel="0" collapsed="false">
      <c r="A77" s="30" t="n">
        <v>56</v>
      </c>
      <c r="B77" s="31" t="s">
        <v>329</v>
      </c>
      <c r="C77" s="32" t="s">
        <v>288</v>
      </c>
      <c r="D77" s="32" t="s">
        <v>171</v>
      </c>
      <c r="E77" s="33" t="s">
        <v>71</v>
      </c>
      <c r="F77" s="34" t="s">
        <v>330</v>
      </c>
      <c r="G77" s="35" t="n">
        <v>0</v>
      </c>
      <c r="H77" s="36" t="s">
        <v>237</v>
      </c>
      <c r="I77" s="33" t="s">
        <v>331</v>
      </c>
      <c r="J77" s="34" t="s">
        <v>332</v>
      </c>
    </row>
    <row r="78" customFormat="false" ht="15" hidden="false" customHeight="false" outlineLevel="0" collapsed="false">
      <c r="A78" s="30" t="n">
        <v>57</v>
      </c>
      <c r="B78" s="31" t="s">
        <v>333</v>
      </c>
      <c r="C78" s="32" t="s">
        <v>288</v>
      </c>
      <c r="D78" s="32" t="s">
        <v>15</v>
      </c>
      <c r="E78" s="33" t="s">
        <v>71</v>
      </c>
      <c r="F78" s="34" t="s">
        <v>334</v>
      </c>
      <c r="G78" s="35" t="n">
        <v>0</v>
      </c>
      <c r="H78" s="36" t="s">
        <v>237</v>
      </c>
      <c r="I78" s="33" t="s">
        <v>335</v>
      </c>
      <c r="J78" s="38"/>
    </row>
    <row r="79" customFormat="false" ht="15" hidden="false" customHeight="false" outlineLevel="0" collapsed="false">
      <c r="A79" s="30" t="n">
        <v>97</v>
      </c>
      <c r="B79" s="31" t="s">
        <v>336</v>
      </c>
      <c r="C79" s="32" t="s">
        <v>288</v>
      </c>
      <c r="D79" s="32" t="s">
        <v>171</v>
      </c>
      <c r="E79" s="33" t="s">
        <v>177</v>
      </c>
      <c r="F79" s="34" t="s">
        <v>337</v>
      </c>
      <c r="G79" s="35" t="n">
        <v>0.0018</v>
      </c>
      <c r="H79" s="36" t="s">
        <v>338</v>
      </c>
      <c r="I79" s="33" t="s">
        <v>339</v>
      </c>
      <c r="J79" s="34" t="s">
        <v>340</v>
      </c>
    </row>
    <row r="80" customFormat="false" ht="15" hidden="false" customHeight="false" outlineLevel="0" collapsed="false">
      <c r="A80" s="30" t="n">
        <v>98</v>
      </c>
      <c r="B80" s="31" t="s">
        <v>341</v>
      </c>
      <c r="C80" s="32" t="s">
        <v>288</v>
      </c>
      <c r="D80" s="32" t="s">
        <v>171</v>
      </c>
      <c r="E80" s="33" t="s">
        <v>177</v>
      </c>
      <c r="F80" s="34" t="s">
        <v>342</v>
      </c>
      <c r="G80" s="35" t="n">
        <v>0.0018</v>
      </c>
      <c r="H80" s="36" t="s">
        <v>343</v>
      </c>
      <c r="I80" s="33" t="s">
        <v>344</v>
      </c>
      <c r="J80" s="38" t="s">
        <v>345</v>
      </c>
    </row>
    <row r="81" customFormat="false" ht="15" hidden="false" customHeight="false" outlineLevel="0" collapsed="false">
      <c r="A81" s="30" t="n">
        <v>99</v>
      </c>
      <c r="B81" s="31" t="s">
        <v>346</v>
      </c>
      <c r="C81" s="32" t="s">
        <v>288</v>
      </c>
      <c r="D81" s="32" t="s">
        <v>171</v>
      </c>
      <c r="E81" s="33" t="s">
        <v>177</v>
      </c>
      <c r="F81" s="34" t="s">
        <v>347</v>
      </c>
      <c r="G81" s="35" t="n">
        <v>0.0018</v>
      </c>
      <c r="H81" s="36" t="s">
        <v>348</v>
      </c>
      <c r="I81" s="33" t="s">
        <v>349</v>
      </c>
      <c r="J81" s="34" t="s">
        <v>350</v>
      </c>
    </row>
    <row r="82" customFormat="false" ht="15" hidden="false" customHeight="false" outlineLevel="0" collapsed="false">
      <c r="A82" s="30" t="n">
        <v>103</v>
      </c>
      <c r="B82" s="31" t="s">
        <v>351</v>
      </c>
      <c r="C82" s="32" t="s">
        <v>288</v>
      </c>
      <c r="D82" s="32" t="s">
        <v>171</v>
      </c>
      <c r="E82" s="33" t="s">
        <v>71</v>
      </c>
      <c r="F82" s="38" t="s">
        <v>352</v>
      </c>
      <c r="G82" s="35" t="n">
        <v>0.0018</v>
      </c>
      <c r="H82" s="36" t="s">
        <v>353</v>
      </c>
      <c r="I82" s="33" t="s">
        <v>354</v>
      </c>
      <c r="J82" s="38"/>
    </row>
    <row r="83" customFormat="false" ht="15" hidden="false" customHeight="false" outlineLevel="0" collapsed="false">
      <c r="A83" s="30" t="n">
        <v>104</v>
      </c>
      <c r="B83" s="31" t="s">
        <v>355</v>
      </c>
      <c r="C83" s="32" t="s">
        <v>288</v>
      </c>
      <c r="D83" s="32" t="s">
        <v>171</v>
      </c>
      <c r="E83" s="33" t="s">
        <v>71</v>
      </c>
      <c r="F83" s="34" t="s">
        <v>356</v>
      </c>
      <c r="G83" s="35" t="n">
        <v>0.0018</v>
      </c>
      <c r="H83" s="36" t="s">
        <v>357</v>
      </c>
      <c r="I83" s="33" t="s">
        <v>358</v>
      </c>
      <c r="J83" s="34" t="s">
        <v>359</v>
      </c>
    </row>
    <row r="84" customFormat="false" ht="15" hidden="false" customHeight="false" outlineLevel="0" collapsed="false">
      <c r="A84" s="39" t="n">
        <v>152</v>
      </c>
      <c r="B84" s="40" t="s">
        <v>360</v>
      </c>
      <c r="C84" s="41" t="s">
        <v>361</v>
      </c>
      <c r="D84" s="41" t="s">
        <v>171</v>
      </c>
      <c r="E84" s="42" t="s">
        <v>71</v>
      </c>
      <c r="F84" s="43" t="s">
        <v>362</v>
      </c>
      <c r="G84" s="44" t="n">
        <v>0.0061</v>
      </c>
      <c r="H84" s="45" t="s">
        <v>363</v>
      </c>
      <c r="I84" s="42" t="s">
        <v>364</v>
      </c>
      <c r="J84" s="43" t="s">
        <v>365</v>
      </c>
    </row>
    <row r="85" customFormat="false" ht="15" hidden="false" customHeight="false" outlineLevel="0" collapsed="false">
      <c r="A85" s="39" t="n">
        <v>153</v>
      </c>
      <c r="B85" s="40" t="s">
        <v>366</v>
      </c>
      <c r="C85" s="41" t="s">
        <v>361</v>
      </c>
      <c r="D85" s="41" t="s">
        <v>171</v>
      </c>
      <c r="E85" s="42" t="s">
        <v>71</v>
      </c>
      <c r="F85" s="43" t="s">
        <v>367</v>
      </c>
      <c r="G85" s="44" t="n">
        <v>0.0061</v>
      </c>
      <c r="H85" s="45" t="s">
        <v>368</v>
      </c>
      <c r="I85" s="42" t="s">
        <v>364</v>
      </c>
      <c r="J85" s="46" t="s">
        <v>369</v>
      </c>
    </row>
    <row r="86" customFormat="false" ht="15" hidden="false" customHeight="false" outlineLevel="0" collapsed="false">
      <c r="A86" s="39" t="n">
        <v>154</v>
      </c>
      <c r="B86" s="40" t="s">
        <v>370</v>
      </c>
      <c r="C86" s="41" t="s">
        <v>361</v>
      </c>
      <c r="D86" s="41" t="s">
        <v>171</v>
      </c>
      <c r="E86" s="42" t="s">
        <v>71</v>
      </c>
      <c r="F86" s="43" t="s">
        <v>371</v>
      </c>
      <c r="G86" s="44" t="n">
        <v>0.0061</v>
      </c>
      <c r="H86" s="45" t="s">
        <v>372</v>
      </c>
      <c r="I86" s="42" t="s">
        <v>364</v>
      </c>
      <c r="J86" s="43" t="s">
        <v>373</v>
      </c>
    </row>
    <row r="87" customFormat="false" ht="15" hidden="false" customHeight="false" outlineLevel="0" collapsed="false">
      <c r="A87" s="39" t="n">
        <v>155</v>
      </c>
      <c r="B87" s="40" t="s">
        <v>374</v>
      </c>
      <c r="C87" s="41" t="s">
        <v>361</v>
      </c>
      <c r="D87" s="41" t="s">
        <v>171</v>
      </c>
      <c r="E87" s="42" t="s">
        <v>71</v>
      </c>
      <c r="F87" s="46" t="s">
        <v>375</v>
      </c>
      <c r="G87" s="44" t="n">
        <v>0.0061</v>
      </c>
      <c r="H87" s="45" t="s">
        <v>376</v>
      </c>
      <c r="I87" s="42" t="s">
        <v>377</v>
      </c>
      <c r="J87" s="43" t="s">
        <v>378</v>
      </c>
    </row>
    <row r="88" customFormat="false" ht="15" hidden="false" customHeight="false" outlineLevel="0" collapsed="false">
      <c r="A88" s="39" t="n">
        <v>156</v>
      </c>
      <c r="B88" s="40" t="s">
        <v>379</v>
      </c>
      <c r="C88" s="41" t="s">
        <v>361</v>
      </c>
      <c r="D88" s="41" t="s">
        <v>171</v>
      </c>
      <c r="E88" s="42" t="s">
        <v>71</v>
      </c>
      <c r="F88" s="46" t="s">
        <v>380</v>
      </c>
      <c r="G88" s="44" t="n">
        <v>0.0061</v>
      </c>
      <c r="H88" s="45" t="s">
        <v>381</v>
      </c>
      <c r="I88" s="42" t="s">
        <v>382</v>
      </c>
      <c r="J88" s="47" t="s">
        <v>383</v>
      </c>
    </row>
    <row r="89" customFormat="false" ht="15" hidden="false" customHeight="false" outlineLevel="0" collapsed="false">
      <c r="A89" s="48" t="n">
        <v>66</v>
      </c>
      <c r="B89" s="49" t="s">
        <v>384</v>
      </c>
      <c r="C89" s="50" t="s">
        <v>385</v>
      </c>
      <c r="D89" s="50" t="s">
        <v>171</v>
      </c>
      <c r="E89" s="51" t="s">
        <v>16</v>
      </c>
      <c r="F89" s="52" t="s">
        <v>386</v>
      </c>
      <c r="G89" s="53" t="n">
        <v>0.0954</v>
      </c>
      <c r="H89" s="54" t="s">
        <v>387</v>
      </c>
      <c r="I89" s="51" t="s">
        <v>388</v>
      </c>
      <c r="J89" s="52" t="s">
        <v>389</v>
      </c>
    </row>
    <row r="90" customFormat="false" ht="15" hidden="false" customHeight="false" outlineLevel="0" collapsed="false">
      <c r="A90" s="48" t="n">
        <v>67</v>
      </c>
      <c r="B90" s="49" t="s">
        <v>390</v>
      </c>
      <c r="C90" s="50" t="s">
        <v>385</v>
      </c>
      <c r="D90" s="50" t="s">
        <v>171</v>
      </c>
      <c r="E90" s="51" t="s">
        <v>16</v>
      </c>
      <c r="F90" s="52" t="s">
        <v>391</v>
      </c>
      <c r="G90" s="53" t="n">
        <v>0.0954</v>
      </c>
      <c r="H90" s="54" t="s">
        <v>237</v>
      </c>
      <c r="I90" s="51" t="s">
        <v>392</v>
      </c>
      <c r="J90" s="52"/>
    </row>
    <row r="91" customFormat="false" ht="15" hidden="false" customHeight="false" outlineLevel="0" collapsed="false">
      <c r="A91" s="48" t="n">
        <v>68</v>
      </c>
      <c r="B91" s="49" t="s">
        <v>393</v>
      </c>
      <c r="C91" s="50" t="s">
        <v>385</v>
      </c>
      <c r="D91" s="50" t="s">
        <v>171</v>
      </c>
      <c r="E91" s="51" t="s">
        <v>16</v>
      </c>
      <c r="F91" s="52" t="s">
        <v>394</v>
      </c>
      <c r="G91" s="53" t="n">
        <v>0.0954</v>
      </c>
      <c r="H91" s="54" t="s">
        <v>237</v>
      </c>
      <c r="I91" s="51" t="s">
        <v>395</v>
      </c>
      <c r="J91" s="52"/>
    </row>
    <row r="92" customFormat="false" ht="15" hidden="false" customHeight="false" outlineLevel="0" collapsed="false">
      <c r="A92" s="48" t="n">
        <v>69</v>
      </c>
      <c r="B92" s="49" t="s">
        <v>396</v>
      </c>
      <c r="C92" s="50" t="s">
        <v>385</v>
      </c>
      <c r="D92" s="50" t="s">
        <v>171</v>
      </c>
      <c r="E92" s="51" t="s">
        <v>16</v>
      </c>
      <c r="F92" s="52" t="s">
        <v>397</v>
      </c>
      <c r="G92" s="53" t="n">
        <v>0.0954</v>
      </c>
      <c r="H92" s="54" t="s">
        <v>398</v>
      </c>
      <c r="I92" s="51" t="s">
        <v>399</v>
      </c>
      <c r="J92" s="52" t="s">
        <v>400</v>
      </c>
    </row>
    <row r="93" customFormat="false" ht="15" hidden="false" customHeight="false" outlineLevel="0" collapsed="false">
      <c r="A93" s="48" t="n">
        <v>70</v>
      </c>
      <c r="B93" s="49" t="s">
        <v>401</v>
      </c>
      <c r="C93" s="50" t="s">
        <v>385</v>
      </c>
      <c r="D93" s="50" t="s">
        <v>171</v>
      </c>
      <c r="E93" s="51" t="s">
        <v>16</v>
      </c>
      <c r="F93" s="52" t="s">
        <v>402</v>
      </c>
      <c r="G93" s="53" t="n">
        <v>0.0018</v>
      </c>
      <c r="H93" s="54" t="s">
        <v>403</v>
      </c>
      <c r="I93" s="51" t="s">
        <v>404</v>
      </c>
      <c r="J93" s="52"/>
    </row>
    <row r="94" customFormat="false" ht="15" hidden="false" customHeight="false" outlineLevel="0" collapsed="false">
      <c r="A94" s="48" t="n">
        <v>71</v>
      </c>
      <c r="B94" s="49" t="s">
        <v>405</v>
      </c>
      <c r="C94" s="50" t="s">
        <v>385</v>
      </c>
      <c r="D94" s="50" t="s">
        <v>171</v>
      </c>
      <c r="E94" s="51" t="s">
        <v>16</v>
      </c>
      <c r="F94" s="52" t="s">
        <v>406</v>
      </c>
      <c r="G94" s="53" t="n">
        <v>0.0018</v>
      </c>
      <c r="H94" s="54" t="s">
        <v>237</v>
      </c>
      <c r="I94" s="51" t="s">
        <v>407</v>
      </c>
      <c r="J94" s="52"/>
    </row>
    <row r="95" customFormat="false" ht="15" hidden="false" customHeight="false" outlineLevel="0" collapsed="false">
      <c r="A95" s="48" t="n">
        <v>72</v>
      </c>
      <c r="B95" s="49" t="s">
        <v>408</v>
      </c>
      <c r="C95" s="50" t="s">
        <v>385</v>
      </c>
      <c r="D95" s="50" t="s">
        <v>171</v>
      </c>
      <c r="E95" s="51" t="s">
        <v>16</v>
      </c>
      <c r="F95" s="52" t="s">
        <v>409</v>
      </c>
      <c r="G95" s="53" t="n">
        <v>0.0018</v>
      </c>
      <c r="H95" s="54" t="s">
        <v>237</v>
      </c>
      <c r="I95" s="51" t="s">
        <v>410</v>
      </c>
      <c r="J95" s="52"/>
    </row>
    <row r="96" customFormat="false" ht="15" hidden="false" customHeight="false" outlineLevel="0" collapsed="false">
      <c r="A96" s="48" t="n">
        <v>73</v>
      </c>
      <c r="B96" s="49" t="s">
        <v>411</v>
      </c>
      <c r="C96" s="50" t="s">
        <v>385</v>
      </c>
      <c r="D96" s="50" t="s">
        <v>171</v>
      </c>
      <c r="E96" s="51" t="s">
        <v>16</v>
      </c>
      <c r="F96" s="52" t="s">
        <v>412</v>
      </c>
      <c r="G96" s="53" t="n">
        <v>0.0018</v>
      </c>
      <c r="H96" s="54" t="s">
        <v>413</v>
      </c>
      <c r="I96" s="51" t="s">
        <v>414</v>
      </c>
      <c r="J96" s="52"/>
    </row>
    <row r="97" customFormat="false" ht="15" hidden="false" customHeight="false" outlineLevel="0" collapsed="false">
      <c r="A97" s="48" t="n">
        <v>74</v>
      </c>
      <c r="B97" s="49" t="s">
        <v>415</v>
      </c>
      <c r="C97" s="50" t="s">
        <v>385</v>
      </c>
      <c r="D97" s="50" t="s">
        <v>171</v>
      </c>
      <c r="E97" s="51" t="s">
        <v>16</v>
      </c>
      <c r="F97" s="52" t="s">
        <v>416</v>
      </c>
      <c r="G97" s="53" t="n">
        <v>0.0019</v>
      </c>
      <c r="H97" s="54" t="s">
        <v>417</v>
      </c>
      <c r="I97" s="51" t="s">
        <v>418</v>
      </c>
      <c r="J97" s="52"/>
    </row>
    <row r="98" customFormat="false" ht="15" hidden="false" customHeight="false" outlineLevel="0" collapsed="false">
      <c r="A98" s="48" t="n">
        <v>75</v>
      </c>
      <c r="B98" s="49" t="s">
        <v>419</v>
      </c>
      <c r="C98" s="50" t="s">
        <v>385</v>
      </c>
      <c r="D98" s="50" t="s">
        <v>171</v>
      </c>
      <c r="E98" s="51" t="s">
        <v>16</v>
      </c>
      <c r="F98" s="52" t="s">
        <v>420</v>
      </c>
      <c r="G98" s="53" t="n">
        <v>0.0019</v>
      </c>
      <c r="H98" s="54" t="s">
        <v>237</v>
      </c>
      <c r="I98" s="51" t="s">
        <v>421</v>
      </c>
      <c r="J98" s="52"/>
    </row>
    <row r="99" customFormat="false" ht="15" hidden="false" customHeight="false" outlineLevel="0" collapsed="false">
      <c r="A99" s="48" t="n">
        <v>76</v>
      </c>
      <c r="B99" s="49" t="s">
        <v>422</v>
      </c>
      <c r="C99" s="50" t="s">
        <v>385</v>
      </c>
      <c r="D99" s="50" t="s">
        <v>171</v>
      </c>
      <c r="E99" s="51" t="s">
        <v>16</v>
      </c>
      <c r="F99" s="52" t="s">
        <v>423</v>
      </c>
      <c r="G99" s="53" t="n">
        <v>0.0019</v>
      </c>
      <c r="H99" s="54" t="s">
        <v>237</v>
      </c>
      <c r="I99" s="51" t="s">
        <v>424</v>
      </c>
      <c r="J99" s="52"/>
    </row>
    <row r="100" customFormat="false" ht="15" hidden="false" customHeight="false" outlineLevel="0" collapsed="false">
      <c r="A100" s="48" t="n">
        <v>77</v>
      </c>
      <c r="B100" s="49" t="s">
        <v>425</v>
      </c>
      <c r="C100" s="50" t="s">
        <v>385</v>
      </c>
      <c r="D100" s="50" t="s">
        <v>171</v>
      </c>
      <c r="E100" s="51" t="s">
        <v>16</v>
      </c>
      <c r="F100" s="52" t="s">
        <v>426</v>
      </c>
      <c r="G100" s="53" t="n">
        <v>0.0019</v>
      </c>
      <c r="H100" s="54" t="s">
        <v>427</v>
      </c>
      <c r="I100" s="51" t="s">
        <v>428</v>
      </c>
      <c r="J100" s="52"/>
    </row>
    <row r="101" customFormat="false" ht="15" hidden="false" customHeight="false" outlineLevel="0" collapsed="false">
      <c r="A101" s="48" t="n">
        <v>78</v>
      </c>
      <c r="B101" s="49" t="s">
        <v>429</v>
      </c>
      <c r="C101" s="50" t="s">
        <v>385</v>
      </c>
      <c r="D101" s="50" t="s">
        <v>171</v>
      </c>
      <c r="E101" s="51" t="s">
        <v>16</v>
      </c>
      <c r="F101" s="52" t="s">
        <v>430</v>
      </c>
      <c r="G101" s="53" t="n">
        <v>0.012</v>
      </c>
      <c r="H101" s="54" t="s">
        <v>431</v>
      </c>
      <c r="I101" s="51" t="s">
        <v>432</v>
      </c>
      <c r="J101" s="52"/>
    </row>
    <row r="102" customFormat="false" ht="15" hidden="false" customHeight="false" outlineLevel="0" collapsed="false">
      <c r="A102" s="48" t="n">
        <v>79</v>
      </c>
      <c r="B102" s="49" t="s">
        <v>433</v>
      </c>
      <c r="C102" s="50" t="s">
        <v>385</v>
      </c>
      <c r="D102" s="50" t="s">
        <v>171</v>
      </c>
      <c r="E102" s="51" t="s">
        <v>16</v>
      </c>
      <c r="F102" s="52" t="s">
        <v>434</v>
      </c>
      <c r="G102" s="53" t="n">
        <v>0.012</v>
      </c>
      <c r="H102" s="54" t="s">
        <v>237</v>
      </c>
      <c r="I102" s="51" t="s">
        <v>435</v>
      </c>
      <c r="J102" s="52"/>
    </row>
    <row r="103" customFormat="false" ht="15" hidden="false" customHeight="false" outlineLevel="0" collapsed="false">
      <c r="A103" s="48" t="n">
        <v>80</v>
      </c>
      <c r="B103" s="49" t="s">
        <v>436</v>
      </c>
      <c r="C103" s="50" t="s">
        <v>385</v>
      </c>
      <c r="D103" s="50" t="s">
        <v>171</v>
      </c>
      <c r="E103" s="51" t="s">
        <v>16</v>
      </c>
      <c r="F103" s="52" t="s">
        <v>437</v>
      </c>
      <c r="G103" s="53" t="n">
        <v>0.012</v>
      </c>
      <c r="H103" s="54" t="s">
        <v>237</v>
      </c>
      <c r="I103" s="51" t="s">
        <v>438</v>
      </c>
      <c r="J103" s="52"/>
    </row>
    <row r="104" customFormat="false" ht="15" hidden="false" customHeight="false" outlineLevel="0" collapsed="false">
      <c r="A104" s="48" t="n">
        <v>81</v>
      </c>
      <c r="B104" s="49" t="s">
        <v>439</v>
      </c>
      <c r="C104" s="50" t="s">
        <v>385</v>
      </c>
      <c r="D104" s="50" t="s">
        <v>171</v>
      </c>
      <c r="E104" s="51" t="s">
        <v>16</v>
      </c>
      <c r="F104" s="52" t="s">
        <v>440</v>
      </c>
      <c r="G104" s="53" t="n">
        <v>0.012</v>
      </c>
      <c r="H104" s="54" t="s">
        <v>441</v>
      </c>
      <c r="I104" s="51" t="s">
        <v>442</v>
      </c>
      <c r="J104" s="52"/>
    </row>
    <row r="105" customFormat="false" ht="15" hidden="false" customHeight="false" outlineLevel="0" collapsed="false">
      <c r="A105" s="48" t="n">
        <v>82</v>
      </c>
      <c r="B105" s="49" t="s">
        <v>443</v>
      </c>
      <c r="C105" s="50" t="s">
        <v>385</v>
      </c>
      <c r="D105" s="50" t="s">
        <v>171</v>
      </c>
      <c r="E105" s="51" t="s">
        <v>71</v>
      </c>
      <c r="F105" s="52" t="s">
        <v>444</v>
      </c>
      <c r="G105" s="53" t="n">
        <v>0.0591</v>
      </c>
      <c r="H105" s="54" t="s">
        <v>445</v>
      </c>
      <c r="I105" s="51" t="s">
        <v>446</v>
      </c>
      <c r="J105" s="52"/>
    </row>
    <row r="106" customFormat="false" ht="15" hidden="false" customHeight="false" outlineLevel="0" collapsed="false">
      <c r="A106" s="48" t="n">
        <v>83</v>
      </c>
      <c r="B106" s="49" t="s">
        <v>447</v>
      </c>
      <c r="C106" s="50" t="s">
        <v>385</v>
      </c>
      <c r="D106" s="50" t="s">
        <v>171</v>
      </c>
      <c r="E106" s="51" t="s">
        <v>71</v>
      </c>
      <c r="F106" s="52" t="s">
        <v>448</v>
      </c>
      <c r="G106" s="53" t="n">
        <v>0.0954</v>
      </c>
      <c r="H106" s="54" t="s">
        <v>449</v>
      </c>
      <c r="I106" s="51" t="s">
        <v>450</v>
      </c>
      <c r="J106" s="52"/>
    </row>
    <row r="107" customFormat="false" ht="15" hidden="false" customHeight="false" outlineLevel="0" collapsed="false">
      <c r="A107" s="48" t="n">
        <v>84</v>
      </c>
      <c r="B107" s="49" t="s">
        <v>451</v>
      </c>
      <c r="C107" s="50" t="s">
        <v>385</v>
      </c>
      <c r="D107" s="50" t="s">
        <v>171</v>
      </c>
      <c r="E107" s="51" t="s">
        <v>71</v>
      </c>
      <c r="F107" s="52" t="s">
        <v>452</v>
      </c>
      <c r="G107" s="53" t="n">
        <v>0.0954</v>
      </c>
      <c r="H107" s="54" t="s">
        <v>237</v>
      </c>
      <c r="I107" s="51" t="s">
        <v>453</v>
      </c>
      <c r="J107" s="52"/>
    </row>
    <row r="108" customFormat="false" ht="15" hidden="false" customHeight="false" outlineLevel="0" collapsed="false">
      <c r="A108" s="48" t="n">
        <v>85</v>
      </c>
      <c r="B108" s="49" t="s">
        <v>454</v>
      </c>
      <c r="C108" s="50" t="s">
        <v>385</v>
      </c>
      <c r="D108" s="50" t="s">
        <v>171</v>
      </c>
      <c r="E108" s="51" t="s">
        <v>71</v>
      </c>
      <c r="F108" s="52" t="s">
        <v>455</v>
      </c>
      <c r="G108" s="53" t="n">
        <v>0.0954</v>
      </c>
      <c r="H108" s="54" t="s">
        <v>237</v>
      </c>
      <c r="I108" s="51" t="s">
        <v>456</v>
      </c>
      <c r="J108" s="52"/>
    </row>
    <row r="109" customFormat="false" ht="15" hidden="false" customHeight="false" outlineLevel="0" collapsed="false">
      <c r="A109" s="48" t="n">
        <v>86</v>
      </c>
      <c r="B109" s="49" t="s">
        <v>457</v>
      </c>
      <c r="C109" s="50" t="s">
        <v>385</v>
      </c>
      <c r="D109" s="50" t="s">
        <v>171</v>
      </c>
      <c r="E109" s="51" t="s">
        <v>71</v>
      </c>
      <c r="F109" s="52" t="s">
        <v>458</v>
      </c>
      <c r="G109" s="53" t="n">
        <v>0.0954</v>
      </c>
      <c r="H109" s="54" t="s">
        <v>398</v>
      </c>
      <c r="I109" s="51" t="s">
        <v>459</v>
      </c>
      <c r="J109" s="52"/>
    </row>
    <row r="110" customFormat="false" ht="15" hidden="false" customHeight="false" outlineLevel="0" collapsed="false">
      <c r="A110" s="48" t="n">
        <v>87</v>
      </c>
      <c r="B110" s="49" t="s">
        <v>460</v>
      </c>
      <c r="C110" s="50" t="s">
        <v>385</v>
      </c>
      <c r="D110" s="50" t="s">
        <v>171</v>
      </c>
      <c r="E110" s="51" t="s">
        <v>71</v>
      </c>
      <c r="F110" s="52" t="s">
        <v>461</v>
      </c>
      <c r="G110" s="53" t="n">
        <v>0.0954</v>
      </c>
      <c r="H110" s="54" t="s">
        <v>149</v>
      </c>
      <c r="I110" s="51" t="s">
        <v>462</v>
      </c>
      <c r="J110" s="52"/>
    </row>
    <row r="111" customFormat="false" ht="15" hidden="false" customHeight="false" outlineLevel="0" collapsed="false">
      <c r="A111" s="48" t="n">
        <v>88</v>
      </c>
      <c r="B111" s="49" t="s">
        <v>463</v>
      </c>
      <c r="C111" s="50" t="s">
        <v>385</v>
      </c>
      <c r="D111" s="50" t="s">
        <v>171</v>
      </c>
      <c r="E111" s="51" t="s">
        <v>71</v>
      </c>
      <c r="F111" s="52" t="s">
        <v>464</v>
      </c>
      <c r="G111" s="53" t="n">
        <v>0.0954</v>
      </c>
      <c r="H111" s="54" t="s">
        <v>465</v>
      </c>
      <c r="I111" s="51" t="s">
        <v>466</v>
      </c>
      <c r="J111" s="52"/>
    </row>
    <row r="112" customFormat="false" ht="15" hidden="false" customHeight="false" outlineLevel="0" collapsed="false">
      <c r="A112" s="48" t="n">
        <v>89</v>
      </c>
      <c r="B112" s="49" t="s">
        <v>467</v>
      </c>
      <c r="C112" s="50" t="s">
        <v>385</v>
      </c>
      <c r="D112" s="50" t="s">
        <v>171</v>
      </c>
      <c r="E112" s="51" t="s">
        <v>71</v>
      </c>
      <c r="F112" s="52" t="s">
        <v>468</v>
      </c>
      <c r="G112" s="53" t="n">
        <v>0.0954</v>
      </c>
      <c r="H112" s="54" t="s">
        <v>469</v>
      </c>
      <c r="I112" s="51" t="s">
        <v>470</v>
      </c>
      <c r="J112" s="52"/>
    </row>
    <row r="113" customFormat="false" ht="15" hidden="false" customHeight="false" outlineLevel="0" collapsed="false">
      <c r="A113" s="48" t="n">
        <v>90</v>
      </c>
      <c r="B113" s="49" t="s">
        <v>471</v>
      </c>
      <c r="C113" s="50" t="s">
        <v>385</v>
      </c>
      <c r="D113" s="50" t="s">
        <v>171</v>
      </c>
      <c r="E113" s="51" t="s">
        <v>71</v>
      </c>
      <c r="F113" s="52" t="s">
        <v>472</v>
      </c>
      <c r="G113" s="53" t="n">
        <v>0.3497</v>
      </c>
      <c r="H113" s="54" t="s">
        <v>204</v>
      </c>
      <c r="I113" s="51" t="s">
        <v>473</v>
      </c>
      <c r="J113" s="52"/>
    </row>
    <row r="114" customFormat="false" ht="15" hidden="false" customHeight="false" outlineLevel="0" collapsed="false">
      <c r="A114" s="48" t="n">
        <v>92</v>
      </c>
      <c r="B114" s="49" t="s">
        <v>474</v>
      </c>
      <c r="C114" s="50" t="s">
        <v>385</v>
      </c>
      <c r="D114" s="50" t="s">
        <v>15</v>
      </c>
      <c r="E114" s="51" t="s">
        <v>71</v>
      </c>
      <c r="F114" s="52" t="s">
        <v>475</v>
      </c>
      <c r="G114" s="53" t="n">
        <v>0</v>
      </c>
      <c r="H114" s="54" t="s">
        <v>476</v>
      </c>
      <c r="I114" s="51" t="s">
        <v>477</v>
      </c>
      <c r="J114" s="55" t="s">
        <v>478</v>
      </c>
    </row>
    <row r="115" customFormat="false" ht="15" hidden="false" customHeight="false" outlineLevel="0" collapsed="false">
      <c r="A115" s="48" t="n">
        <v>93</v>
      </c>
      <c r="B115" s="49" t="s">
        <v>479</v>
      </c>
      <c r="C115" s="50" t="s">
        <v>385</v>
      </c>
      <c r="D115" s="50" t="s">
        <v>171</v>
      </c>
      <c r="E115" s="51" t="s">
        <v>71</v>
      </c>
      <c r="F115" s="52" t="s">
        <v>480</v>
      </c>
      <c r="G115" s="53" t="n">
        <v>0.2467</v>
      </c>
      <c r="H115" s="54" t="s">
        <v>237</v>
      </c>
      <c r="I115" s="51" t="s">
        <v>481</v>
      </c>
      <c r="J115" s="55"/>
    </row>
    <row r="116" customFormat="false" ht="15" hidden="false" customHeight="false" outlineLevel="0" collapsed="false">
      <c r="A116" s="56" t="n">
        <v>138</v>
      </c>
      <c r="B116" s="57" t="s">
        <v>482</v>
      </c>
      <c r="C116" s="58" t="s">
        <v>483</v>
      </c>
      <c r="D116" s="58" t="s">
        <v>171</v>
      </c>
      <c r="E116" s="59" t="s">
        <v>16</v>
      </c>
      <c r="F116" s="60" t="s">
        <v>484</v>
      </c>
      <c r="G116" s="61" t="n">
        <v>0.4636</v>
      </c>
      <c r="H116" s="62" t="s">
        <v>237</v>
      </c>
      <c r="I116" s="59" t="s">
        <v>485</v>
      </c>
      <c r="J116" s="63" t="s">
        <v>486</v>
      </c>
    </row>
    <row r="117" customFormat="false" ht="15" hidden="false" customHeight="false" outlineLevel="0" collapsed="false">
      <c r="A117" s="56" t="n">
        <v>139</v>
      </c>
      <c r="B117" s="57" t="s">
        <v>487</v>
      </c>
      <c r="C117" s="58" t="s">
        <v>483</v>
      </c>
      <c r="D117" s="58" t="s">
        <v>171</v>
      </c>
      <c r="E117" s="59" t="s">
        <v>71</v>
      </c>
      <c r="F117" s="60" t="s">
        <v>488</v>
      </c>
      <c r="G117" s="61" t="n">
        <v>0.5231</v>
      </c>
      <c r="H117" s="62" t="s">
        <v>489</v>
      </c>
      <c r="I117" s="59" t="s">
        <v>490</v>
      </c>
      <c r="J117" s="60" t="s">
        <v>491</v>
      </c>
    </row>
    <row r="118" customFormat="false" ht="15" hidden="false" customHeight="false" outlineLevel="0" collapsed="false">
      <c r="A118" s="56" t="n">
        <v>140</v>
      </c>
      <c r="B118" s="57" t="s">
        <v>492</v>
      </c>
      <c r="C118" s="58" t="s">
        <v>483</v>
      </c>
      <c r="D118" s="58" t="s">
        <v>171</v>
      </c>
      <c r="E118" s="59" t="s">
        <v>71</v>
      </c>
      <c r="F118" s="60" t="s">
        <v>493</v>
      </c>
      <c r="G118" s="61" t="n">
        <v>0</v>
      </c>
      <c r="H118" s="62" t="s">
        <v>494</v>
      </c>
      <c r="I118" s="59" t="s">
        <v>495</v>
      </c>
      <c r="J118" s="60"/>
    </row>
    <row r="119" customFormat="false" ht="15" hidden="false" customHeight="false" outlineLevel="0" collapsed="false">
      <c r="A119" s="56" t="n">
        <v>141</v>
      </c>
      <c r="B119" s="57" t="s">
        <v>496</v>
      </c>
      <c r="C119" s="58" t="s">
        <v>483</v>
      </c>
      <c r="D119" s="58" t="s">
        <v>171</v>
      </c>
      <c r="E119" s="59" t="s">
        <v>71</v>
      </c>
      <c r="F119" s="60" t="s">
        <v>497</v>
      </c>
      <c r="G119" s="61" t="n">
        <v>0.3843</v>
      </c>
      <c r="H119" s="62" t="s">
        <v>237</v>
      </c>
      <c r="I119" s="59" t="s">
        <v>498</v>
      </c>
      <c r="J119" s="60"/>
    </row>
    <row r="120" customFormat="false" ht="15" hidden="false" customHeight="false" outlineLevel="0" collapsed="false">
      <c r="A120" s="56" t="n">
        <v>142</v>
      </c>
      <c r="B120" s="57" t="s">
        <v>499</v>
      </c>
      <c r="C120" s="58" t="s">
        <v>483</v>
      </c>
      <c r="D120" s="58" t="s">
        <v>171</v>
      </c>
      <c r="E120" s="59" t="s">
        <v>71</v>
      </c>
      <c r="F120" s="60" t="s">
        <v>500</v>
      </c>
      <c r="G120" s="61" t="n">
        <v>0.4132</v>
      </c>
      <c r="H120" s="62" t="s">
        <v>501</v>
      </c>
      <c r="I120" s="59" t="s">
        <v>502</v>
      </c>
      <c r="J120" s="60"/>
    </row>
    <row r="121" customFormat="false" ht="15" hidden="false" customHeight="false" outlineLevel="0" collapsed="false">
      <c r="A121" s="56" t="n">
        <v>143</v>
      </c>
      <c r="B121" s="57" t="s">
        <v>503</v>
      </c>
      <c r="C121" s="58" t="s">
        <v>483</v>
      </c>
      <c r="D121" s="58" t="s">
        <v>171</v>
      </c>
      <c r="E121" s="59" t="s">
        <v>71</v>
      </c>
      <c r="F121" s="60" t="s">
        <v>504</v>
      </c>
      <c r="G121" s="61" t="n">
        <v>0</v>
      </c>
      <c r="H121" s="62" t="s">
        <v>505</v>
      </c>
      <c r="I121" s="59" t="s">
        <v>506</v>
      </c>
      <c r="J121" s="60" t="s">
        <v>507</v>
      </c>
    </row>
    <row r="122" customFormat="false" ht="15" hidden="false" customHeight="false" outlineLevel="0" collapsed="false">
      <c r="A122" s="56" t="n">
        <v>144</v>
      </c>
      <c r="B122" s="57" t="s">
        <v>508</v>
      </c>
      <c r="C122" s="58" t="s">
        <v>483</v>
      </c>
      <c r="D122" s="58" t="s">
        <v>171</v>
      </c>
      <c r="E122" s="59" t="s">
        <v>71</v>
      </c>
      <c r="F122" s="60" t="s">
        <v>509</v>
      </c>
      <c r="G122" s="61" t="n">
        <v>0.3843</v>
      </c>
      <c r="H122" s="62" t="s">
        <v>237</v>
      </c>
      <c r="I122" s="59" t="s">
        <v>510</v>
      </c>
      <c r="J122" s="60"/>
    </row>
    <row r="123" customFormat="false" ht="15" hidden="false" customHeight="false" outlineLevel="0" collapsed="false">
      <c r="A123" s="56" t="n">
        <v>145</v>
      </c>
      <c r="B123" s="57" t="s">
        <v>511</v>
      </c>
      <c r="C123" s="58" t="s">
        <v>483</v>
      </c>
      <c r="D123" s="58" t="s">
        <v>171</v>
      </c>
      <c r="E123" s="59" t="s">
        <v>71</v>
      </c>
      <c r="F123" s="60" t="s">
        <v>512</v>
      </c>
      <c r="G123" s="61" t="n">
        <v>0</v>
      </c>
      <c r="H123" s="62" t="s">
        <v>237</v>
      </c>
      <c r="I123" s="59" t="s">
        <v>513</v>
      </c>
      <c r="J123" s="60"/>
    </row>
    <row r="124" customFormat="false" ht="15" hidden="false" customHeight="false" outlineLevel="0" collapsed="false">
      <c r="A124" s="56" t="n">
        <v>146</v>
      </c>
      <c r="B124" s="57" t="s">
        <v>514</v>
      </c>
      <c r="C124" s="58" t="s">
        <v>483</v>
      </c>
      <c r="D124" s="58" t="s">
        <v>171</v>
      </c>
      <c r="E124" s="59" t="s">
        <v>71</v>
      </c>
      <c r="F124" s="60" t="s">
        <v>515</v>
      </c>
      <c r="G124" s="61" t="n">
        <v>0</v>
      </c>
      <c r="H124" s="62" t="s">
        <v>516</v>
      </c>
      <c r="I124" s="59" t="s">
        <v>517</v>
      </c>
      <c r="J124" s="60" t="s">
        <v>518</v>
      </c>
    </row>
    <row r="125" customFormat="false" ht="15" hidden="false" customHeight="false" outlineLevel="0" collapsed="false">
      <c r="A125" s="56" t="n">
        <v>147</v>
      </c>
      <c r="B125" s="57" t="s">
        <v>519</v>
      </c>
      <c r="C125" s="58" t="s">
        <v>483</v>
      </c>
      <c r="D125" s="58" t="s">
        <v>171</v>
      </c>
      <c r="E125" s="59" t="s">
        <v>71</v>
      </c>
      <c r="F125" s="60" t="s">
        <v>520</v>
      </c>
      <c r="G125" s="61" t="n">
        <v>0.4636</v>
      </c>
      <c r="H125" s="62" t="s">
        <v>521</v>
      </c>
      <c r="I125" s="59" t="s">
        <v>522</v>
      </c>
      <c r="J125" s="60"/>
    </row>
    <row r="126" customFormat="false" ht="15" hidden="false" customHeight="false" outlineLevel="0" collapsed="false">
      <c r="A126" s="56" t="n">
        <v>148</v>
      </c>
      <c r="B126" s="57" t="s">
        <v>523</v>
      </c>
      <c r="C126" s="58" t="s">
        <v>524</v>
      </c>
      <c r="D126" s="58" t="s">
        <v>15</v>
      </c>
      <c r="E126" s="59" t="s">
        <v>71</v>
      </c>
      <c r="F126" s="60" t="s">
        <v>525</v>
      </c>
      <c r="G126" s="61" t="n">
        <v>0</v>
      </c>
      <c r="H126" s="62" t="s">
        <v>526</v>
      </c>
      <c r="I126" s="59" t="s">
        <v>527</v>
      </c>
      <c r="J126" s="60"/>
    </row>
    <row r="127" customFormat="false" ht="15" hidden="false" customHeight="false" outlineLevel="0" collapsed="false">
      <c r="A127" s="56" t="n">
        <v>149</v>
      </c>
      <c r="B127" s="57" t="s">
        <v>528</v>
      </c>
      <c r="C127" s="58" t="s">
        <v>524</v>
      </c>
      <c r="D127" s="58" t="s">
        <v>171</v>
      </c>
      <c r="E127" s="59" t="s">
        <v>71</v>
      </c>
      <c r="F127" s="60" t="s">
        <v>529</v>
      </c>
      <c r="G127" s="61" t="n">
        <v>0.4618</v>
      </c>
      <c r="H127" s="62" t="s">
        <v>237</v>
      </c>
      <c r="I127" s="59" t="s">
        <v>530</v>
      </c>
      <c r="J127" s="60"/>
    </row>
    <row r="128" customFormat="false" ht="15" hidden="false" customHeight="false" outlineLevel="0" collapsed="false">
      <c r="A128" s="56" t="n">
        <v>150</v>
      </c>
      <c r="B128" s="57" t="s">
        <v>531</v>
      </c>
      <c r="C128" s="58" t="s">
        <v>524</v>
      </c>
      <c r="D128" s="58" t="s">
        <v>171</v>
      </c>
      <c r="E128" s="59" t="s">
        <v>71</v>
      </c>
      <c r="F128" s="60" t="s">
        <v>532</v>
      </c>
      <c r="G128" s="61" t="n">
        <v>0.0003</v>
      </c>
      <c r="H128" s="62" t="s">
        <v>533</v>
      </c>
      <c r="I128" s="59" t="s">
        <v>534</v>
      </c>
      <c r="J128" s="64" t="s">
        <v>535</v>
      </c>
    </row>
    <row r="129" customFormat="false" ht="15" hidden="false" customHeight="false" outlineLevel="0" collapsed="false">
      <c r="A129" s="56" t="n">
        <v>151</v>
      </c>
      <c r="B129" s="57" t="s">
        <v>536</v>
      </c>
      <c r="C129" s="58" t="s">
        <v>524</v>
      </c>
      <c r="D129" s="58" t="s">
        <v>171</v>
      </c>
      <c r="E129" s="59" t="s">
        <v>71</v>
      </c>
      <c r="F129" s="60" t="s">
        <v>537</v>
      </c>
      <c r="G129" s="61" t="n">
        <v>0.096</v>
      </c>
      <c r="H129" s="62" t="s">
        <v>538</v>
      </c>
      <c r="I129" s="59" t="s">
        <v>539</v>
      </c>
      <c r="J129" s="64"/>
    </row>
    <row r="130" customFormat="false" ht="15" hidden="false" customHeight="false" outlineLevel="0" collapsed="false">
      <c r="A130" s="65" t="n">
        <v>114</v>
      </c>
      <c r="B130" s="66" t="s">
        <v>540</v>
      </c>
      <c r="C130" s="67" t="s">
        <v>541</v>
      </c>
      <c r="D130" s="67" t="s">
        <v>171</v>
      </c>
      <c r="E130" s="68" t="s">
        <v>223</v>
      </c>
      <c r="F130" s="69" t="s">
        <v>542</v>
      </c>
      <c r="G130" s="70" t="n">
        <v>0</v>
      </c>
      <c r="H130" s="71" t="s">
        <v>543</v>
      </c>
      <c r="I130" s="68" t="s">
        <v>544</v>
      </c>
      <c r="J130" s="69"/>
    </row>
    <row r="131" customFormat="false" ht="15" hidden="false" customHeight="false" outlineLevel="0" collapsed="false">
      <c r="A131" s="65" t="n">
        <v>115</v>
      </c>
      <c r="B131" s="66" t="s">
        <v>545</v>
      </c>
      <c r="C131" s="67" t="s">
        <v>541</v>
      </c>
      <c r="D131" s="67" t="s">
        <v>171</v>
      </c>
      <c r="E131" s="68" t="s">
        <v>223</v>
      </c>
      <c r="F131" s="69" t="s">
        <v>546</v>
      </c>
      <c r="G131" s="70" t="n">
        <v>0</v>
      </c>
      <c r="H131" s="71" t="s">
        <v>237</v>
      </c>
      <c r="I131" s="68" t="s">
        <v>547</v>
      </c>
      <c r="J131" s="69"/>
    </row>
    <row r="132" customFormat="false" ht="15" hidden="false" customHeight="false" outlineLevel="0" collapsed="false">
      <c r="A132" s="65" t="n">
        <v>116</v>
      </c>
      <c r="B132" s="66" t="s">
        <v>548</v>
      </c>
      <c r="C132" s="67" t="s">
        <v>541</v>
      </c>
      <c r="D132" s="67" t="s">
        <v>171</v>
      </c>
      <c r="E132" s="68" t="s">
        <v>223</v>
      </c>
      <c r="F132" s="69" t="s">
        <v>549</v>
      </c>
      <c r="G132" s="70" t="n">
        <v>0.0001</v>
      </c>
      <c r="H132" s="71" t="s">
        <v>550</v>
      </c>
      <c r="I132" s="68" t="s">
        <v>551</v>
      </c>
      <c r="J132" s="69"/>
    </row>
    <row r="133" customFormat="false" ht="15" hidden="false" customHeight="false" outlineLevel="0" collapsed="false">
      <c r="A133" s="65" t="n">
        <v>117</v>
      </c>
      <c r="B133" s="66" t="s">
        <v>552</v>
      </c>
      <c r="C133" s="67" t="s">
        <v>541</v>
      </c>
      <c r="D133" s="67" t="s">
        <v>171</v>
      </c>
      <c r="E133" s="68" t="s">
        <v>223</v>
      </c>
      <c r="F133" s="69" t="s">
        <v>553</v>
      </c>
      <c r="G133" s="70" t="n">
        <v>0.0001</v>
      </c>
      <c r="H133" s="71" t="s">
        <v>237</v>
      </c>
      <c r="I133" s="68" t="s">
        <v>547</v>
      </c>
      <c r="J133" s="69"/>
    </row>
    <row r="134" customFormat="false" ht="15" hidden="false" customHeight="false" outlineLevel="0" collapsed="false">
      <c r="A134" s="65" t="n">
        <v>118</v>
      </c>
      <c r="B134" s="66" t="s">
        <v>554</v>
      </c>
      <c r="C134" s="67" t="s">
        <v>541</v>
      </c>
      <c r="D134" s="67" t="s">
        <v>171</v>
      </c>
      <c r="E134" s="68" t="s">
        <v>16</v>
      </c>
      <c r="F134" s="69" t="s">
        <v>555</v>
      </c>
      <c r="G134" s="70" t="n">
        <v>0.0246</v>
      </c>
      <c r="H134" s="71" t="s">
        <v>556</v>
      </c>
      <c r="I134" s="68" t="s">
        <v>557</v>
      </c>
      <c r="J134" s="69"/>
    </row>
    <row r="135" customFormat="false" ht="15" hidden="false" customHeight="false" outlineLevel="0" collapsed="false">
      <c r="A135" s="65" t="n">
        <v>119</v>
      </c>
      <c r="B135" s="66" t="s">
        <v>558</v>
      </c>
      <c r="C135" s="67" t="s">
        <v>541</v>
      </c>
      <c r="D135" s="67" t="s">
        <v>171</v>
      </c>
      <c r="E135" s="68" t="s">
        <v>16</v>
      </c>
      <c r="F135" s="69" t="s">
        <v>559</v>
      </c>
      <c r="G135" s="70" t="n">
        <v>0</v>
      </c>
      <c r="H135" s="71" t="s">
        <v>237</v>
      </c>
      <c r="I135" s="68" t="s">
        <v>547</v>
      </c>
      <c r="J135" s="69"/>
    </row>
    <row r="136" customFormat="false" ht="15" hidden="false" customHeight="false" outlineLevel="0" collapsed="false">
      <c r="A136" s="65" t="n">
        <v>120</v>
      </c>
      <c r="B136" s="66" t="s">
        <v>560</v>
      </c>
      <c r="C136" s="67" t="s">
        <v>541</v>
      </c>
      <c r="D136" s="67" t="s">
        <v>171</v>
      </c>
      <c r="E136" s="68" t="s">
        <v>16</v>
      </c>
      <c r="F136" s="69" t="s">
        <v>561</v>
      </c>
      <c r="G136" s="70" t="n">
        <v>0.0975</v>
      </c>
      <c r="H136" s="71" t="s">
        <v>562</v>
      </c>
      <c r="I136" s="68" t="s">
        <v>563</v>
      </c>
      <c r="J136" s="69"/>
    </row>
    <row r="137" customFormat="false" ht="15" hidden="false" customHeight="false" outlineLevel="0" collapsed="false">
      <c r="A137" s="65" t="n">
        <v>121</v>
      </c>
      <c r="B137" s="66" t="s">
        <v>564</v>
      </c>
      <c r="C137" s="67" t="s">
        <v>541</v>
      </c>
      <c r="D137" s="67" t="s">
        <v>171</v>
      </c>
      <c r="E137" s="68" t="s">
        <v>16</v>
      </c>
      <c r="F137" s="69" t="s">
        <v>565</v>
      </c>
      <c r="G137" s="70" t="n">
        <v>0</v>
      </c>
      <c r="H137" s="71" t="s">
        <v>237</v>
      </c>
      <c r="I137" s="68" t="s">
        <v>547</v>
      </c>
      <c r="J137" s="69"/>
    </row>
    <row r="138" customFormat="false" ht="15" hidden="false" customHeight="false" outlineLevel="0" collapsed="false">
      <c r="A138" s="65" t="n">
        <v>122</v>
      </c>
      <c r="B138" s="66" t="s">
        <v>566</v>
      </c>
      <c r="C138" s="67" t="s">
        <v>541</v>
      </c>
      <c r="D138" s="67" t="s">
        <v>171</v>
      </c>
      <c r="E138" s="68" t="s">
        <v>16</v>
      </c>
      <c r="F138" s="69" t="s">
        <v>567</v>
      </c>
      <c r="G138" s="70" t="n">
        <v>0.2821</v>
      </c>
      <c r="H138" s="71" t="s">
        <v>568</v>
      </c>
      <c r="I138" s="68" t="s">
        <v>569</v>
      </c>
      <c r="J138" s="72" t="s">
        <v>206</v>
      </c>
    </row>
    <row r="139" customFormat="false" ht="15" hidden="false" customHeight="false" outlineLevel="0" collapsed="false">
      <c r="A139" s="65" t="n">
        <v>123</v>
      </c>
      <c r="B139" s="66" t="s">
        <v>570</v>
      </c>
      <c r="C139" s="67" t="s">
        <v>541</v>
      </c>
      <c r="D139" s="67" t="s">
        <v>171</v>
      </c>
      <c r="E139" s="68" t="s">
        <v>16</v>
      </c>
      <c r="F139" s="69" t="s">
        <v>571</v>
      </c>
      <c r="G139" s="70" t="n">
        <v>0.2803</v>
      </c>
      <c r="H139" s="71" t="s">
        <v>237</v>
      </c>
      <c r="I139" s="68" t="s">
        <v>572</v>
      </c>
      <c r="J139" s="72" t="s">
        <v>206</v>
      </c>
    </row>
    <row r="140" customFormat="false" ht="15" hidden="false" customHeight="false" outlineLevel="0" collapsed="false">
      <c r="A140" s="65" t="n">
        <v>124</v>
      </c>
      <c r="B140" s="66" t="s">
        <v>573</v>
      </c>
      <c r="C140" s="67" t="s">
        <v>541</v>
      </c>
      <c r="D140" s="67" t="s">
        <v>171</v>
      </c>
      <c r="E140" s="68" t="s">
        <v>16</v>
      </c>
      <c r="F140" s="69" t="s">
        <v>574</v>
      </c>
      <c r="G140" s="70" t="n">
        <v>0.3251</v>
      </c>
      <c r="H140" s="71" t="s">
        <v>575</v>
      </c>
      <c r="I140" s="68" t="s">
        <v>576</v>
      </c>
      <c r="J140" s="69"/>
    </row>
    <row r="141" customFormat="false" ht="15" hidden="false" customHeight="false" outlineLevel="0" collapsed="false">
      <c r="A141" s="65" t="n">
        <v>125</v>
      </c>
      <c r="B141" s="66" t="s">
        <v>577</v>
      </c>
      <c r="C141" s="67" t="s">
        <v>541</v>
      </c>
      <c r="D141" s="67" t="s">
        <v>171</v>
      </c>
      <c r="E141" s="68" t="s">
        <v>16</v>
      </c>
      <c r="F141" s="69" t="s">
        <v>578</v>
      </c>
      <c r="G141" s="70" t="n">
        <v>0.0954</v>
      </c>
      <c r="H141" s="71" t="s">
        <v>237</v>
      </c>
      <c r="I141" s="68" t="s">
        <v>579</v>
      </c>
      <c r="J141" s="69"/>
    </row>
    <row r="142" customFormat="false" ht="15" hidden="false" customHeight="false" outlineLevel="0" collapsed="false">
      <c r="A142" s="65" t="n">
        <v>126</v>
      </c>
      <c r="B142" s="66" t="s">
        <v>580</v>
      </c>
      <c r="C142" s="67" t="s">
        <v>541</v>
      </c>
      <c r="D142" s="67" t="s">
        <v>171</v>
      </c>
      <c r="E142" s="68" t="s">
        <v>16</v>
      </c>
      <c r="F142" s="69" t="s">
        <v>581</v>
      </c>
      <c r="G142" s="70" t="n">
        <v>0.0964</v>
      </c>
      <c r="H142" s="71" t="s">
        <v>582</v>
      </c>
      <c r="I142" s="68" t="s">
        <v>583</v>
      </c>
      <c r="J142" s="69" t="s">
        <v>400</v>
      </c>
    </row>
    <row r="143" customFormat="false" ht="15" hidden="false" customHeight="false" outlineLevel="0" collapsed="false">
      <c r="A143" s="65" t="n">
        <v>127</v>
      </c>
      <c r="B143" s="66" t="s">
        <v>584</v>
      </c>
      <c r="C143" s="67" t="s">
        <v>541</v>
      </c>
      <c r="D143" s="67" t="s">
        <v>171</v>
      </c>
      <c r="E143" s="68" t="s">
        <v>16</v>
      </c>
      <c r="F143" s="69" t="s">
        <v>585</v>
      </c>
      <c r="G143" s="70" t="n">
        <v>0.0954</v>
      </c>
      <c r="H143" s="71" t="s">
        <v>237</v>
      </c>
      <c r="I143" s="68" t="s">
        <v>579</v>
      </c>
      <c r="J143" s="69" t="s">
        <v>400</v>
      </c>
    </row>
    <row r="144" customFormat="false" ht="15" hidden="false" customHeight="false" outlineLevel="0" collapsed="false">
      <c r="A144" s="65" t="n">
        <v>128</v>
      </c>
      <c r="B144" s="66" t="s">
        <v>586</v>
      </c>
      <c r="C144" s="67" t="s">
        <v>541</v>
      </c>
      <c r="D144" s="67" t="s">
        <v>171</v>
      </c>
      <c r="E144" s="68" t="s">
        <v>16</v>
      </c>
      <c r="F144" s="69" t="s">
        <v>587</v>
      </c>
      <c r="G144" s="70" t="n">
        <v>0.0019</v>
      </c>
      <c r="H144" s="71" t="s">
        <v>588</v>
      </c>
      <c r="I144" s="68" t="s">
        <v>589</v>
      </c>
      <c r="J144" s="69"/>
    </row>
    <row r="145" customFormat="false" ht="15" hidden="false" customHeight="false" outlineLevel="0" collapsed="false">
      <c r="A145" s="65" t="n">
        <v>129</v>
      </c>
      <c r="B145" s="66" t="s">
        <v>590</v>
      </c>
      <c r="C145" s="67" t="s">
        <v>541</v>
      </c>
      <c r="D145" s="67" t="s">
        <v>171</v>
      </c>
      <c r="E145" s="68" t="s">
        <v>16</v>
      </c>
      <c r="F145" s="69" t="s">
        <v>591</v>
      </c>
      <c r="G145" s="70" t="n">
        <v>0.0018</v>
      </c>
      <c r="H145" s="71" t="s">
        <v>237</v>
      </c>
      <c r="I145" s="68" t="s">
        <v>592</v>
      </c>
      <c r="J145" s="69"/>
    </row>
    <row r="146" customFormat="false" ht="15" hidden="false" customHeight="false" outlineLevel="0" collapsed="false">
      <c r="A146" s="65" t="n">
        <v>130</v>
      </c>
      <c r="B146" s="66" t="s">
        <v>593</v>
      </c>
      <c r="C146" s="67" t="s">
        <v>541</v>
      </c>
      <c r="D146" s="67" t="s">
        <v>171</v>
      </c>
      <c r="E146" s="68" t="s">
        <v>16</v>
      </c>
      <c r="F146" s="69" t="s">
        <v>594</v>
      </c>
      <c r="G146" s="70" t="n">
        <v>0.0024</v>
      </c>
      <c r="H146" s="71" t="s">
        <v>595</v>
      </c>
      <c r="I146" s="68" t="s">
        <v>596</v>
      </c>
      <c r="J146" s="69"/>
    </row>
    <row r="147" customFormat="false" ht="15" hidden="false" customHeight="false" outlineLevel="0" collapsed="false">
      <c r="A147" s="65" t="n">
        <v>131</v>
      </c>
      <c r="B147" s="66" t="s">
        <v>597</v>
      </c>
      <c r="C147" s="67" t="s">
        <v>541</v>
      </c>
      <c r="D147" s="67" t="s">
        <v>171</v>
      </c>
      <c r="E147" s="68" t="s">
        <v>16</v>
      </c>
      <c r="F147" s="69" t="s">
        <v>598</v>
      </c>
      <c r="G147" s="70" t="n">
        <v>0.0019</v>
      </c>
      <c r="H147" s="71" t="s">
        <v>237</v>
      </c>
      <c r="I147" s="68" t="s">
        <v>592</v>
      </c>
      <c r="J147" s="69"/>
    </row>
    <row r="148" customFormat="false" ht="15" hidden="false" customHeight="false" outlineLevel="0" collapsed="false">
      <c r="A148" s="65" t="n">
        <v>132</v>
      </c>
      <c r="B148" s="66" t="s">
        <v>599</v>
      </c>
      <c r="C148" s="67" t="s">
        <v>541</v>
      </c>
      <c r="D148" s="67" t="s">
        <v>171</v>
      </c>
      <c r="E148" s="68" t="s">
        <v>71</v>
      </c>
      <c r="F148" s="69" t="s">
        <v>600</v>
      </c>
      <c r="G148" s="70" t="n">
        <v>0.0611</v>
      </c>
      <c r="H148" s="71" t="s">
        <v>601</v>
      </c>
      <c r="I148" s="68" t="s">
        <v>602</v>
      </c>
      <c r="J148" s="69"/>
    </row>
    <row r="149" customFormat="false" ht="15" hidden="false" customHeight="false" outlineLevel="0" collapsed="false">
      <c r="A149" s="65" t="n">
        <v>133</v>
      </c>
      <c r="B149" s="66" t="s">
        <v>603</v>
      </c>
      <c r="C149" s="67" t="s">
        <v>541</v>
      </c>
      <c r="D149" s="67" t="s">
        <v>171</v>
      </c>
      <c r="E149" s="68" t="s">
        <v>71</v>
      </c>
      <c r="F149" s="69" t="s">
        <v>604</v>
      </c>
      <c r="G149" s="70" t="n">
        <v>0.0591</v>
      </c>
      <c r="H149" s="71" t="s">
        <v>237</v>
      </c>
      <c r="I149" s="68" t="s">
        <v>605</v>
      </c>
      <c r="J149" s="69"/>
    </row>
    <row r="150" customFormat="false" ht="15" hidden="false" customHeight="false" outlineLevel="0" collapsed="false">
      <c r="A150" s="65" t="n">
        <v>134</v>
      </c>
      <c r="B150" s="66" t="s">
        <v>606</v>
      </c>
      <c r="C150" s="67" t="s">
        <v>541</v>
      </c>
      <c r="D150" s="67" t="s">
        <v>171</v>
      </c>
      <c r="E150" s="68" t="s">
        <v>271</v>
      </c>
      <c r="F150" s="69" t="s">
        <v>607</v>
      </c>
      <c r="G150" s="70" t="n">
        <v>0</v>
      </c>
      <c r="H150" s="71" t="s">
        <v>608</v>
      </c>
      <c r="I150" s="68" t="s">
        <v>609</v>
      </c>
      <c r="J150" s="69"/>
    </row>
    <row r="151" customFormat="false" ht="15" hidden="false" customHeight="false" outlineLevel="0" collapsed="false">
      <c r="A151" s="65" t="n">
        <v>135</v>
      </c>
      <c r="B151" s="66" t="s">
        <v>610</v>
      </c>
      <c r="C151" s="67" t="s">
        <v>541</v>
      </c>
      <c r="D151" s="67" t="s">
        <v>171</v>
      </c>
      <c r="E151" s="68" t="s">
        <v>271</v>
      </c>
      <c r="F151" s="69" t="s">
        <v>611</v>
      </c>
      <c r="G151" s="70" t="n">
        <v>0</v>
      </c>
      <c r="H151" s="71" t="s">
        <v>237</v>
      </c>
      <c r="I151" s="68" t="s">
        <v>547</v>
      </c>
      <c r="J151" s="69"/>
    </row>
    <row r="152" customFormat="false" ht="15" hidden="false" customHeight="false" outlineLevel="0" collapsed="false">
      <c r="A152" s="65" t="n">
        <v>136</v>
      </c>
      <c r="B152" s="66" t="s">
        <v>612</v>
      </c>
      <c r="C152" s="67" t="s">
        <v>541</v>
      </c>
      <c r="D152" s="67" t="s">
        <v>171</v>
      </c>
      <c r="E152" s="68" t="s">
        <v>248</v>
      </c>
      <c r="F152" s="69" t="s">
        <v>613</v>
      </c>
      <c r="G152" s="70" t="n">
        <v>0.0018</v>
      </c>
      <c r="H152" s="71" t="s">
        <v>614</v>
      </c>
      <c r="I152" s="68" t="s">
        <v>547</v>
      </c>
      <c r="J152" s="69" t="s">
        <v>252</v>
      </c>
    </row>
    <row r="153" customFormat="false" ht="15" hidden="false" customHeight="false" outlineLevel="0" collapsed="false">
      <c r="A153" s="73" t="n">
        <v>21</v>
      </c>
      <c r="B153" s="74" t="s">
        <v>615</v>
      </c>
      <c r="C153" s="75" t="s">
        <v>616</v>
      </c>
      <c r="D153" s="75" t="s">
        <v>15</v>
      </c>
      <c r="E153" s="76" t="s">
        <v>16</v>
      </c>
      <c r="F153" s="77" t="s">
        <v>617</v>
      </c>
      <c r="G153" s="78" t="n">
        <v>0</v>
      </c>
      <c r="H153" s="79" t="s">
        <v>449</v>
      </c>
      <c r="I153" s="76" t="s">
        <v>328</v>
      </c>
      <c r="J153" s="80" t="s">
        <v>618</v>
      </c>
    </row>
    <row r="154" customFormat="false" ht="15" hidden="false" customHeight="false" outlineLevel="0" collapsed="false">
      <c r="A154" s="73" t="n">
        <v>58</v>
      </c>
      <c r="B154" s="74" t="s">
        <v>619</v>
      </c>
      <c r="C154" s="75" t="s">
        <v>616</v>
      </c>
      <c r="D154" s="75" t="s">
        <v>171</v>
      </c>
      <c r="E154" s="76" t="s">
        <v>71</v>
      </c>
      <c r="F154" s="77" t="s">
        <v>620</v>
      </c>
      <c r="G154" s="78" t="n">
        <v>0</v>
      </c>
      <c r="H154" s="79" t="s">
        <v>18</v>
      </c>
      <c r="I154" s="76" t="s">
        <v>621</v>
      </c>
      <c r="J154" s="80" t="s">
        <v>618</v>
      </c>
    </row>
    <row r="155" customFormat="false" ht="15" hidden="false" customHeight="false" outlineLevel="0" collapsed="false">
      <c r="A155" s="73" t="n">
        <v>59</v>
      </c>
      <c r="B155" s="74" t="s">
        <v>622</v>
      </c>
      <c r="C155" s="75" t="s">
        <v>616</v>
      </c>
      <c r="D155" s="75" t="s">
        <v>171</v>
      </c>
      <c r="E155" s="76" t="s">
        <v>71</v>
      </c>
      <c r="F155" s="77" t="s">
        <v>623</v>
      </c>
      <c r="G155" s="78" t="n">
        <v>0</v>
      </c>
      <c r="H155" s="79" t="s">
        <v>237</v>
      </c>
      <c r="I155" s="76" t="s">
        <v>592</v>
      </c>
      <c r="J155" s="80" t="s">
        <v>618</v>
      </c>
    </row>
    <row r="156" customFormat="false" ht="15" hidden="false" customHeight="false" outlineLevel="0" collapsed="false">
      <c r="A156" s="73" t="n">
        <v>60</v>
      </c>
      <c r="B156" s="74" t="s">
        <v>624</v>
      </c>
      <c r="C156" s="75" t="s">
        <v>616</v>
      </c>
      <c r="D156" s="75" t="s">
        <v>15</v>
      </c>
      <c r="E156" s="76" t="s">
        <v>71</v>
      </c>
      <c r="F156" s="81" t="s">
        <v>625</v>
      </c>
      <c r="G156" s="78" t="n">
        <v>0</v>
      </c>
      <c r="H156" s="79" t="s">
        <v>237</v>
      </c>
      <c r="I156" s="76" t="s">
        <v>626</v>
      </c>
      <c r="J156" s="80" t="s">
        <v>618</v>
      </c>
    </row>
    <row r="157" customFormat="false" ht="15" hidden="false" customHeight="false" outlineLevel="0" collapsed="false">
      <c r="A157" s="73" t="n">
        <v>61</v>
      </c>
      <c r="B157" s="74" t="s">
        <v>627</v>
      </c>
      <c r="C157" s="75" t="s">
        <v>616</v>
      </c>
      <c r="D157" s="75" t="s">
        <v>15</v>
      </c>
      <c r="E157" s="76" t="s">
        <v>71</v>
      </c>
      <c r="F157" s="77" t="s">
        <v>628</v>
      </c>
      <c r="G157" s="78" t="n">
        <v>0</v>
      </c>
      <c r="H157" s="79" t="s">
        <v>237</v>
      </c>
      <c r="I157" s="76" t="s">
        <v>629</v>
      </c>
      <c r="J157" s="81" t="s">
        <v>630</v>
      </c>
    </row>
    <row r="158" customFormat="false" ht="15" hidden="false" customHeight="false" outlineLevel="0" collapsed="false">
      <c r="A158" s="73" t="n">
        <v>62</v>
      </c>
      <c r="B158" s="74" t="s">
        <v>631</v>
      </c>
      <c r="C158" s="75" t="s">
        <v>616</v>
      </c>
      <c r="D158" s="75" t="s">
        <v>171</v>
      </c>
      <c r="E158" s="76" t="s">
        <v>71</v>
      </c>
      <c r="F158" s="77" t="s">
        <v>632</v>
      </c>
      <c r="G158" s="78" t="n">
        <v>0</v>
      </c>
      <c r="H158" s="79" t="s">
        <v>398</v>
      </c>
      <c r="I158" s="76" t="s">
        <v>633</v>
      </c>
      <c r="J158" s="80" t="s">
        <v>634</v>
      </c>
    </row>
    <row r="159" customFormat="false" ht="15" hidden="false" customHeight="false" outlineLevel="0" collapsed="false">
      <c r="A159" s="73" t="n">
        <v>63</v>
      </c>
      <c r="B159" s="74" t="s">
        <v>635</v>
      </c>
      <c r="C159" s="75" t="s">
        <v>636</v>
      </c>
      <c r="D159" s="75" t="s">
        <v>15</v>
      </c>
      <c r="E159" s="76" t="s">
        <v>71</v>
      </c>
      <c r="F159" s="77" t="s">
        <v>637</v>
      </c>
      <c r="G159" s="78" t="n">
        <v>0</v>
      </c>
      <c r="H159" s="79" t="s">
        <v>237</v>
      </c>
      <c r="I159" s="76" t="s">
        <v>638</v>
      </c>
      <c r="J159" s="82" t="s">
        <v>639</v>
      </c>
    </row>
    <row r="160" customFormat="false" ht="15" hidden="false" customHeight="false" outlineLevel="0" collapsed="false">
      <c r="A160" s="73" t="n">
        <v>64</v>
      </c>
      <c r="B160" s="74" t="s">
        <v>640</v>
      </c>
      <c r="C160" s="75" t="s">
        <v>636</v>
      </c>
      <c r="D160" s="75" t="s">
        <v>15</v>
      </c>
      <c r="E160" s="76" t="s">
        <v>71</v>
      </c>
      <c r="F160" s="77" t="s">
        <v>641</v>
      </c>
      <c r="G160" s="78" t="n">
        <v>0</v>
      </c>
      <c r="H160" s="79" t="s">
        <v>237</v>
      </c>
      <c r="I160" s="76" t="s">
        <v>642</v>
      </c>
      <c r="J160" s="82" t="s">
        <v>643</v>
      </c>
    </row>
    <row r="161" customFormat="false" ht="15" hidden="false" customHeight="false" outlineLevel="0" collapsed="false">
      <c r="A161" s="73" t="n">
        <v>65</v>
      </c>
      <c r="B161" s="74" t="s">
        <v>644</v>
      </c>
      <c r="C161" s="75" t="s">
        <v>636</v>
      </c>
      <c r="D161" s="75" t="s">
        <v>15</v>
      </c>
      <c r="E161" s="76" t="s">
        <v>71</v>
      </c>
      <c r="F161" s="81" t="s">
        <v>645</v>
      </c>
      <c r="G161" s="78" t="n">
        <v>0</v>
      </c>
      <c r="H161" s="79" t="s">
        <v>646</v>
      </c>
      <c r="I161" s="76" t="s">
        <v>647</v>
      </c>
      <c r="J161" s="81"/>
    </row>
  </sheetData>
  <autoFilter ref="A5:J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83" t="s">
        <v>648</v>
      </c>
    </row>
    <row r="3" customFormat="false" ht="15" hidden="false" customHeight="false" outlineLevel="0" collapsed="false">
      <c r="A3" s="84" t="s">
        <v>5</v>
      </c>
      <c r="B3" s="84" t="s">
        <v>649</v>
      </c>
      <c r="C3" s="84" t="s">
        <v>650</v>
      </c>
      <c r="D3" s="84" t="s">
        <v>8</v>
      </c>
    </row>
    <row r="4" customFormat="false" ht="15" hidden="false" customHeight="false" outlineLevel="0" collapsed="false">
      <c r="A4" s="85" t="s">
        <v>14</v>
      </c>
      <c r="B4" s="85" t="n">
        <v>17</v>
      </c>
      <c r="C4" s="86" t="n">
        <f aca="false">B4/$B$15</f>
        <v>0.108974358974359</v>
      </c>
      <c r="D4" s="85" t="s">
        <v>651</v>
      </c>
    </row>
    <row r="5" customFormat="false" ht="15" hidden="false" customHeight="false" outlineLevel="0" collapsed="false">
      <c r="A5" s="87" t="s">
        <v>92</v>
      </c>
      <c r="B5" s="87" t="n">
        <v>22</v>
      </c>
      <c r="C5" s="88" t="n">
        <f aca="false">B5/$B$15</f>
        <v>0.141025641025641</v>
      </c>
      <c r="D5" s="87" t="s">
        <v>652</v>
      </c>
    </row>
    <row r="6" customFormat="false" ht="15" hidden="false" customHeight="false" outlineLevel="0" collapsed="false">
      <c r="A6" s="89" t="s">
        <v>190</v>
      </c>
      <c r="B6" s="89" t="n">
        <v>23</v>
      </c>
      <c r="C6" s="90" t="n">
        <f aca="false">B6/$B$15</f>
        <v>0.147435897435897</v>
      </c>
      <c r="D6" s="89" t="s">
        <v>653</v>
      </c>
    </row>
    <row r="7" customFormat="false" ht="15" hidden="false" customHeight="false" outlineLevel="0" collapsed="false">
      <c r="A7" s="91" t="s">
        <v>288</v>
      </c>
      <c r="B7" s="91" t="n">
        <v>16</v>
      </c>
      <c r="C7" s="92" t="n">
        <f aca="false">B7/$B$15</f>
        <v>0.102564102564103</v>
      </c>
      <c r="D7" s="91" t="s">
        <v>654</v>
      </c>
    </row>
    <row r="8" customFormat="false" ht="15" hidden="false" customHeight="false" outlineLevel="0" collapsed="false">
      <c r="A8" s="93" t="s">
        <v>361</v>
      </c>
      <c r="B8" s="93" t="n">
        <v>5</v>
      </c>
      <c r="C8" s="94" t="n">
        <f aca="false">B8/$B$15</f>
        <v>0.0320512820512821</v>
      </c>
      <c r="D8" s="95" t="s">
        <v>655</v>
      </c>
    </row>
    <row r="9" customFormat="false" ht="15" hidden="false" customHeight="false" outlineLevel="0" collapsed="false">
      <c r="A9" s="96" t="s">
        <v>385</v>
      </c>
      <c r="B9" s="96" t="n">
        <v>27</v>
      </c>
      <c r="C9" s="97" t="n">
        <f aca="false">B9/$B$15</f>
        <v>0.173076923076923</v>
      </c>
      <c r="D9" s="96" t="s">
        <v>656</v>
      </c>
    </row>
    <row r="10" customFormat="false" ht="15" hidden="false" customHeight="false" outlineLevel="0" collapsed="false">
      <c r="A10" s="98" t="s">
        <v>483</v>
      </c>
      <c r="B10" s="98" t="n">
        <v>10</v>
      </c>
      <c r="C10" s="99" t="n">
        <f aca="false">B10/$B$15</f>
        <v>0.0641025641025641</v>
      </c>
      <c r="D10" s="98" t="s">
        <v>657</v>
      </c>
    </row>
    <row r="11" customFormat="false" ht="15" hidden="false" customHeight="false" outlineLevel="0" collapsed="false">
      <c r="A11" s="98" t="s">
        <v>524</v>
      </c>
      <c r="B11" s="98" t="n">
        <v>4</v>
      </c>
      <c r="C11" s="99" t="n">
        <f aca="false">B11/$B$15</f>
        <v>0.0256410256410256</v>
      </c>
      <c r="D11" s="98" t="s">
        <v>658</v>
      </c>
    </row>
    <row r="12" customFormat="false" ht="15" hidden="false" customHeight="false" outlineLevel="0" collapsed="false">
      <c r="A12" s="100" t="s">
        <v>541</v>
      </c>
      <c r="B12" s="100" t="n">
        <v>23</v>
      </c>
      <c r="C12" s="101" t="n">
        <f aca="false">B12/$B$15</f>
        <v>0.147435897435897</v>
      </c>
      <c r="D12" s="100" t="s">
        <v>659</v>
      </c>
    </row>
    <row r="13" customFormat="false" ht="15" hidden="false" customHeight="false" outlineLevel="0" collapsed="false">
      <c r="A13" s="102" t="s">
        <v>616</v>
      </c>
      <c r="B13" s="102" t="n">
        <v>6</v>
      </c>
      <c r="C13" s="103" t="n">
        <f aca="false">B13/$B$15</f>
        <v>0.0384615384615385</v>
      </c>
      <c r="D13" s="104" t="s">
        <v>660</v>
      </c>
    </row>
    <row r="14" customFormat="false" ht="15" hidden="false" customHeight="false" outlineLevel="0" collapsed="false">
      <c r="A14" s="102" t="s">
        <v>636</v>
      </c>
      <c r="B14" s="102" t="n">
        <v>3</v>
      </c>
      <c r="C14" s="103" t="n">
        <f aca="false">B14/$B$15</f>
        <v>0.0192307692307692</v>
      </c>
      <c r="D14" s="104" t="s">
        <v>661</v>
      </c>
    </row>
    <row r="15" customFormat="false" ht="15" hidden="false" customHeight="false" outlineLevel="0" collapsed="false">
      <c r="A15" s="105" t="s">
        <v>662</v>
      </c>
      <c r="B15" s="105" t="n">
        <f aca="false">SUM(B4:B14)</f>
        <v>156</v>
      </c>
      <c r="C15" s="106"/>
      <c r="D15" s="106"/>
    </row>
    <row r="17" customFormat="false" ht="15" hidden="false" customHeight="false" outlineLevel="0" collapsed="false">
      <c r="A17" s="107" t="s">
        <v>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2026-08-15T03:33:32Z</dcterms:created>
  <dc:creator>openpyxl</dc:creator>
  <dc:description/>
  <dc:language>en-US</dc:language>
  <cp:lastModifiedBy/>
  <dcterms:modified xsi:type="dcterms:W3CDTF">2026-08-15T03:33:32Z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